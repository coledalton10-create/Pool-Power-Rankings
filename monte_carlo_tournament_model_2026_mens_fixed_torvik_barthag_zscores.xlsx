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rams" sheetId="2" state="visible" r:id="rId2"/>
    <sheet xmlns:r="http://schemas.openxmlformats.org/officeDocument/2006/relationships" name="teams" sheetId="3" state="visible" r:id="rId3"/>
    <sheet xmlns:r="http://schemas.openxmlformats.org/officeDocument/2006/relationships" name="first_round_matchups" sheetId="4" state="visible" r:id="rId4"/>
    <sheet xmlns:r="http://schemas.openxmlformats.org/officeDocument/2006/relationships" name="scoring_rules" sheetId="5" state="visible" r:id="rId5"/>
    <sheet xmlns:r="http://schemas.openxmlformats.org/officeDocument/2006/relationships" name="historical_games" sheetId="6" state="visible" r:id="rId6"/>
    <sheet xmlns:r="http://schemas.openxmlformats.org/officeDocument/2006/relationships" name="first_four_matchups" sheetId="7" state="visible" r:id="rId7"/>
    <sheet xmlns:r="http://schemas.openxmlformats.org/officeDocument/2006/relationships" name="sources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color rgb="007F6000"/>
    </font>
    <font>
      <b val="1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2026 Men's Tournament Monte Carlo Model Workbook</t>
        </is>
      </c>
    </row>
    <row r="2" ht="20" customHeight="1">
      <c r="A2" t="inlineStr">
        <is>
          <t>1) teams tab now contains true KenPom NetRtg values in column E.</t>
        </is>
      </c>
    </row>
    <row r="3" ht="20" customHeight="1">
      <c r="A3" s="2" t="inlineStr">
        <is>
          <t>2) AP-based scoring uses Week 19 AP rankings and round win multipliers (not round reached points).</t>
        </is>
      </c>
    </row>
    <row r="4" ht="20" customHeight="1">
      <c r="A4" s="2" t="inlineStr">
        <is>
          <t>3) First Four placeholder rows remain blank for AP/base points and kenpom because the winner determines the value.</t>
        </is>
      </c>
    </row>
    <row r="5" ht="20" customHeight="1">
      <c r="A5" s="2" t="inlineStr">
        <is>
          <t>4) torvik and evanmia columns are still open for later fill.</t>
        </is>
      </c>
    </row>
    <row r="6" ht="20" customHeight="1">
      <c r="A6" s="2" t="inlineStr">
        <is>
          <t>• Teams tab includes AP rank, base points, and per-round win-point columns</t>
        </is>
      </c>
    </row>
    <row r="7" ht="20" customHeight="1">
      <c r="A7" s="2" t="inlineStr">
        <is>
          <t>• First Four placeholder rows leave AP/base points blank because scoring depends on which team wins the play-in</t>
        </is>
      </c>
    </row>
    <row r="8" ht="20" customHeight="1">
      <c r="A8" s="2" t="inlineStr"/>
    </row>
    <row r="9" ht="20" customHeight="1">
      <c r="A9" s="2" t="inlineStr">
        <is>
          <t>How this pool scores</t>
        </is>
      </c>
    </row>
    <row r="10" ht="20" customHeight="1">
      <c r="A10" s="2" t="inlineStr">
        <is>
          <t>• Pick 10 teams</t>
        </is>
      </c>
    </row>
    <row r="11">
      <c r="A11" s="2" t="inlineStr">
        <is>
          <t>• Base points from Week 19 AP buckets:</t>
        </is>
      </c>
    </row>
    <row r="12">
      <c r="A12" s="2" t="inlineStr">
        <is>
          <t xml:space="preserve">  - AP 1-5 = 1 point</t>
        </is>
      </c>
    </row>
    <row r="13">
      <c r="A13" s="2" t="inlineStr">
        <is>
          <t xml:space="preserve">  - AP 6-10 = 2 points</t>
        </is>
      </c>
    </row>
    <row r="14">
      <c r="A14" s="2" t="inlineStr">
        <is>
          <t xml:space="preserve">  - AP 11-15 = 3 points</t>
        </is>
      </c>
    </row>
    <row r="15">
      <c r="A15" s="2" t="inlineStr">
        <is>
          <t xml:space="preserve">  - AP 16-20 = 4 points</t>
        </is>
      </c>
    </row>
    <row r="16">
      <c r="A16" s="2" t="inlineStr">
        <is>
          <t xml:space="preserve">  - AP 21-25 = 5 points</t>
        </is>
      </c>
    </row>
    <row r="17">
      <c r="A17" s="2" t="inlineStr">
        <is>
          <t xml:space="preserve">  - Unranked = 6 points</t>
        </is>
      </c>
    </row>
    <row r="18">
      <c r="A18" s="2" t="inlineStr">
        <is>
          <t>• Points are awarded only for wins:</t>
        </is>
      </c>
    </row>
    <row r="19">
      <c r="A19" s="2" t="inlineStr">
        <is>
          <t xml:space="preserve">  - Round 1 x1, Round 2 x2, Sweet 16 x3, Elite 8 x4, Final Four x5, Championship x6</t>
        </is>
      </c>
    </row>
    <row r="20">
      <c r="A20" s="2" t="inlineStr"/>
    </row>
    <row r="21">
      <c r="A21" s="2" t="inlineStr">
        <is>
          <t>Source notes</t>
        </is>
      </c>
    </row>
    <row r="22">
      <c r="A22" t="inlineStr">
        <is>
          <t>• Week 19 AP ranking source added on sources tab</t>
        </is>
      </c>
    </row>
    <row r="23">
      <c r="A23" t="inlineStr">
        <is>
          <t>Updated torvik from uploaded T-Rank PDF using AdjOE - AdjDE and evanmia from uploaded EvanMiya PDF using Relative Rating.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70" customWidth="1" min="3" max="3"/>
  </cols>
  <sheetData>
    <row r="1" ht="22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notes</t>
        </is>
      </c>
    </row>
    <row r="2">
      <c r="A2" s="4" t="inlineStr">
        <is>
          <t>weight_kenpom_z</t>
        </is>
      </c>
      <c r="B2" s="5" t="n">
        <v>0.4</v>
      </c>
      <c r="C2" s="4" t="inlineStr">
        <is>
          <t>Must sum to 1. Used for composite_rating in teams tab.</t>
        </is>
      </c>
    </row>
    <row r="3">
      <c r="A3" s="4" t="inlineStr">
        <is>
          <t>weight_torvik_z</t>
        </is>
      </c>
      <c r="B3" s="5" t="n">
        <v>0.35</v>
      </c>
      <c r="C3" s="4" t="inlineStr">
        <is>
          <t>Must sum to 1. Used for composite_rating in teams tab.</t>
        </is>
      </c>
    </row>
    <row r="4">
      <c r="A4" s="4" t="inlineStr">
        <is>
          <t>weight_evanmia_z</t>
        </is>
      </c>
      <c r="B4" s="5" t="n">
        <v>0.25</v>
      </c>
      <c r="C4" s="4" t="inlineStr">
        <is>
          <t>Must sum to 1. Used for composite_rating in teams tab.</t>
        </is>
      </c>
    </row>
    <row r="5">
      <c r="A5" s="4" t="inlineStr">
        <is>
          <t>weights_sum_check</t>
        </is>
      </c>
      <c r="B5" s="5">
        <f>SUM(B2:B4)</f>
        <v/>
      </c>
      <c r="C5" s="4" t="inlineStr">
        <is>
          <t>Should equal 1.0</t>
        </is>
      </c>
    </row>
    <row r="6">
      <c r="A6" s="4" t="inlineStr">
        <is>
          <t>logistic_k</t>
        </is>
      </c>
      <c r="B6" s="5" t="n">
        <v>1</v>
      </c>
      <c r="C6" s="4" t="inlineStr">
        <is>
          <t>Controls how rating differences map to win probabilities. Calibrate later.</t>
        </is>
      </c>
    </row>
    <row r="7">
      <c r="A7" s="4" t="inlineStr">
        <is>
          <t>mean_kenpom</t>
        </is>
      </c>
      <c r="B7" s="5" t="n">
        <v>16.84132352941177</v>
      </c>
      <c r="C7" s="4" t="inlineStr">
        <is>
          <t>Auto-calculated from teams ratings</t>
        </is>
      </c>
    </row>
    <row r="8">
      <c r="A8" s="4" t="inlineStr">
        <is>
          <t>stdevp_kenpom</t>
        </is>
      </c>
      <c r="B8" s="5" t="n">
        <v>12.14245867442153</v>
      </c>
      <c r="C8" s="4" t="inlineStr">
        <is>
          <t>Auto-calculated from teams ratings</t>
        </is>
      </c>
    </row>
    <row r="9">
      <c r="A9" s="4" t="inlineStr">
        <is>
          <t>mean_torvik</t>
        </is>
      </c>
      <c r="B9" s="5" t="n">
        <v>0.7897250000000002</v>
      </c>
      <c r="C9" s="4" t="inlineStr">
        <is>
          <t>Auto-calculated from teams ratings</t>
        </is>
      </c>
    </row>
    <row r="10">
      <c r="A10" s="4" t="inlineStr">
        <is>
          <t>stdevp_torvik</t>
        </is>
      </c>
      <c r="B10" s="5" t="n">
        <v>0.1978072913773879</v>
      </c>
      <c r="C10" s="4" t="inlineStr">
        <is>
          <t>Auto-calculated from teams ratings</t>
        </is>
      </c>
    </row>
    <row r="11">
      <c r="A11" s="4" t="inlineStr">
        <is>
          <t>mean_evanmia</t>
        </is>
      </c>
      <c r="B11" s="5" t="n">
        <v>15.18382352941177</v>
      </c>
      <c r="C11" s="4" t="inlineStr">
        <is>
          <t>Auto-calculated from teams ratings</t>
        </is>
      </c>
    </row>
    <row r="12">
      <c r="A12" s="4" t="inlineStr">
        <is>
          <t>stdevp_evanmia</t>
        </is>
      </c>
      <c r="B12" s="5" t="n">
        <v>10.82689475733948</v>
      </c>
      <c r="C12" s="4" t="inlineStr">
        <is>
          <t>Auto-calculated from teams ratings</t>
        </is>
      </c>
    </row>
    <row r="14">
      <c r="A14" t="inlineStr">
        <is>
          <t>ap_poll_week_for_scoring</t>
        </is>
      </c>
      <c r="B14" t="inlineStr">
        <is>
          <t>Week 19</t>
        </is>
      </c>
      <c r="C14" t="inlineStr">
        <is>
          <t>Pool scoring uses Week 19 AP Top 25 (Mar 9-15, 2026).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  <col width="14" customWidth="1" min="12" max="12"/>
    <col width="12" customWidth="1" min="13" max="13"/>
    <col width="14" customWidth="1" min="14" max="14"/>
    <col width="14" customWidth="1" min="15" max="15"/>
    <col width="18" customWidth="1" min="16" max="16"/>
    <col width="16" customWidth="1" min="17" max="17"/>
    <col width="16" customWidth="1" min="18" max="18"/>
    <col width="16" customWidth="1" min="19" max="19"/>
  </cols>
  <sheetData>
    <row r="1" ht="22" customHeight="1">
      <c r="A1" s="13" t="inlineStr">
        <is>
          <t>team_id</t>
        </is>
      </c>
      <c r="B1" s="13" t="inlineStr">
        <is>
          <t>team_name</t>
        </is>
      </c>
      <c r="C1" s="13" t="inlineStr">
        <is>
          <t>seed</t>
        </is>
      </c>
      <c r="D1" s="13" t="inlineStr">
        <is>
          <t>region</t>
        </is>
      </c>
      <c r="E1" s="13" t="inlineStr">
        <is>
          <t>kenpom</t>
        </is>
      </c>
      <c r="F1" s="13" t="inlineStr">
        <is>
          <t>torvik</t>
        </is>
      </c>
      <c r="G1" s="13" t="inlineStr">
        <is>
          <t>evanmia</t>
        </is>
      </c>
      <c r="H1" s="13" t="inlineStr">
        <is>
          <t>kenpom_z</t>
        </is>
      </c>
      <c r="I1" s="13" t="inlineStr">
        <is>
          <t>torvik_z</t>
        </is>
      </c>
      <c r="J1" s="13" t="inlineStr">
        <is>
          <t>evanmia_z</t>
        </is>
      </c>
      <c r="K1" s="13" t="inlineStr">
        <is>
          <t>composite_rating</t>
        </is>
      </c>
      <c r="L1" s="13" t="inlineStr">
        <is>
          <t>ap_rank_week19</t>
        </is>
      </c>
      <c r="M1" s="13" t="inlineStr">
        <is>
          <t>base_points</t>
        </is>
      </c>
      <c r="N1" s="13" t="inlineStr">
        <is>
          <t>r1_win_points</t>
        </is>
      </c>
      <c r="O1" s="13" t="inlineStr">
        <is>
          <t>r2_win_points</t>
        </is>
      </c>
      <c r="P1" s="13" t="inlineStr">
        <is>
          <t>sweet16_win_points</t>
        </is>
      </c>
      <c r="Q1" s="13" t="inlineStr">
        <is>
          <t>elite8_win_points</t>
        </is>
      </c>
      <c r="R1" s="13" t="inlineStr">
        <is>
          <t>final4_win_points</t>
        </is>
      </c>
      <c r="S1" s="13" t="inlineStr">
        <is>
          <t>title_win_points</t>
        </is>
      </c>
    </row>
    <row r="2">
      <c r="A2" s="6" t="inlineStr">
        <is>
          <t>NOTE: KenPom uses 2026 NetRtg. Torvik now uses 2026 BARTHAG (not AdjOE-AdjDE). EvanMiya uses 2026 Relative Rating. z-scores and composite below are precomputed so there are no formula compatibility issues.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2" t="n"/>
    </row>
    <row r="3">
      <c r="A3" s="7" t="inlineStr">
        <is>
          <t>DATA STARTS ON ROW 4. Composite rating uses weighted z-scores to standardize different scales before combining.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2" t="n"/>
    </row>
    <row r="4">
      <c r="A4" s="4" t="inlineStr">
        <is>
          <t>DUKE</t>
        </is>
      </c>
      <c r="B4" s="4" t="inlineStr">
        <is>
          <t>Duke</t>
        </is>
      </c>
      <c r="C4" s="8" t="n">
        <v>1</v>
      </c>
      <c r="D4" s="4" t="inlineStr">
        <is>
          <t>East</t>
        </is>
      </c>
      <c r="E4" s="15" t="n">
        <v>38.9</v>
      </c>
      <c r="F4" s="16" t="n">
        <v>0.9813</v>
      </c>
      <c r="G4" s="15" t="n">
        <v>34.8</v>
      </c>
      <c r="H4" s="15" t="n">
        <v>1.816656499482723</v>
      </c>
      <c r="I4" s="15" t="n">
        <v>0.9684931160323214</v>
      </c>
      <c r="J4" s="15" t="n">
        <v>1.811800789629967</v>
      </c>
      <c r="K4" s="15" t="n">
        <v>1.518585387811893</v>
      </c>
      <c r="L4" s="4" t="n">
        <v>1</v>
      </c>
      <c r="M4" s="4">
        <f>IF($L4="",6,IF($L4&lt;=5,1,IF($L4&lt;=10,2,IF($L4&lt;=15,3,IF($L4&lt;=20,4,IF($L4&lt;=25,5,6))))))</f>
        <v/>
      </c>
      <c r="N4" s="4">
        <f>IF($M4="","",$M4)</f>
        <v/>
      </c>
      <c r="O4" s="4">
        <f>IF($M4="","",$M4*2)</f>
        <v/>
      </c>
      <c r="P4" s="4">
        <f>IF($M4="","",$M4*3)</f>
        <v/>
      </c>
      <c r="Q4" s="4">
        <f>IF($M4="","",$M4*4)</f>
        <v/>
      </c>
      <c r="R4" s="4">
        <f>IF($M4="","",$M4*5)</f>
        <v/>
      </c>
      <c r="S4" s="4">
        <f>IF($M4="","",$M4*6)</f>
        <v/>
      </c>
    </row>
    <row r="5">
      <c r="A5" s="4" t="inlineStr">
        <is>
          <t>SIENA</t>
        </is>
      </c>
      <c r="B5" s="4" t="inlineStr">
        <is>
          <t>Siena</t>
        </is>
      </c>
      <c r="C5" s="8" t="n">
        <v>16</v>
      </c>
      <c r="D5" s="4" t="inlineStr">
        <is>
          <t>East</t>
        </is>
      </c>
      <c r="E5" s="15" t="n">
        <v>-2.1</v>
      </c>
      <c r="F5" s="16" t="n">
        <v>0.4548</v>
      </c>
      <c r="G5" s="15" t="n">
        <v>-0.1</v>
      </c>
      <c r="H5" s="15" t="n">
        <v>-1.559924891431771</v>
      </c>
      <c r="I5" s="15" t="n">
        <v>-1.693188343401414</v>
      </c>
      <c r="J5" s="15" t="n">
        <v>-1.411653467773016</v>
      </c>
      <c r="K5" s="15" t="n">
        <v>-1.569499243706457</v>
      </c>
      <c r="L5" s="4" t="inlineStr"/>
      <c r="M5" s="4">
        <f>IF($L5="",6,IF($L5&lt;=5,1,IF($L5&lt;=10,2,IF($L5&lt;=15,3,IF($L5&lt;=20,4,IF($L5&lt;=25,5,6))))))</f>
        <v/>
      </c>
      <c r="N5" s="4">
        <f>IF($M5="","",$M5)</f>
        <v/>
      </c>
      <c r="O5" s="4">
        <f>IF($M5="","",$M5*2)</f>
        <v/>
      </c>
      <c r="P5" s="4">
        <f>IF($M5="","",$M5*3)</f>
        <v/>
      </c>
      <c r="Q5" s="4">
        <f>IF($M5="","",$M5*4)</f>
        <v/>
      </c>
      <c r="R5" s="4">
        <f>IF($M5="","",$M5*5)</f>
        <v/>
      </c>
      <c r="S5" s="4">
        <f>IF($M5="","",$M5*6)</f>
        <v/>
      </c>
    </row>
    <row r="6">
      <c r="A6" s="4" t="inlineStr">
        <is>
          <t>OHST</t>
        </is>
      </c>
      <c r="B6" s="4" t="inlineStr">
        <is>
          <t>Ohio State</t>
        </is>
      </c>
      <c r="C6" s="8" t="n">
        <v>8</v>
      </c>
      <c r="D6" s="4" t="inlineStr">
        <is>
          <t>East</t>
        </is>
      </c>
      <c r="E6" s="15" t="n">
        <v>22.24</v>
      </c>
      <c r="F6" s="16" t="n">
        <v>0.9172</v>
      </c>
      <c r="G6" s="15" t="n">
        <v>21.2</v>
      </c>
      <c r="H6" s="15" t="n">
        <v>0.4446114757599063</v>
      </c>
      <c r="I6" s="15" t="n">
        <v>0.6444403495561537</v>
      </c>
      <c r="J6" s="15" t="n">
        <v>0.5556696176906957</v>
      </c>
      <c r="K6" s="15" t="n">
        <v>0.5423161170712902</v>
      </c>
      <c r="L6" s="4" t="inlineStr"/>
      <c r="M6" s="4">
        <f>IF($L6="",6,IF($L6&lt;=5,1,IF($L6&lt;=10,2,IF($L6&lt;=15,3,IF($L6&lt;=20,4,IF($L6&lt;=25,5,6))))))</f>
        <v/>
      </c>
      <c r="N6" s="4">
        <f>IF($M6="","",$M6)</f>
        <v/>
      </c>
      <c r="O6" s="4">
        <f>IF($M6="","",$M6*2)</f>
        <v/>
      </c>
      <c r="P6" s="4">
        <f>IF($M6="","",$M6*3)</f>
        <v/>
      </c>
      <c r="Q6" s="4">
        <f>IF($M6="","",$M6*4)</f>
        <v/>
      </c>
      <c r="R6" s="4">
        <f>IF($M6="","",$M6*5)</f>
        <v/>
      </c>
      <c r="S6" s="4">
        <f>IF($M6="","",$M6*6)</f>
        <v/>
      </c>
    </row>
    <row r="7">
      <c r="A7" s="4" t="inlineStr">
        <is>
          <t>TCU</t>
        </is>
      </c>
      <c r="B7" s="4" t="inlineStr">
        <is>
          <t>TCU</t>
        </is>
      </c>
      <c r="C7" s="8" t="n">
        <v>9</v>
      </c>
      <c r="D7" s="4" t="inlineStr">
        <is>
          <t>East</t>
        </is>
      </c>
      <c r="E7" s="15" t="n">
        <v>17.59</v>
      </c>
      <c r="F7" s="16" t="n">
        <v>0.8367</v>
      </c>
      <c r="G7" s="15" t="n">
        <v>16</v>
      </c>
      <c r="H7" s="15" t="n">
        <v>0.06165773264399438</v>
      </c>
      <c r="I7" s="15" t="n">
        <v>0.2374786069456774</v>
      </c>
      <c r="J7" s="15" t="n">
        <v>0.07538416959626837</v>
      </c>
      <c r="K7" s="15" t="n">
        <v>0.1266266478876519</v>
      </c>
      <c r="L7" s="4" t="inlineStr"/>
      <c r="M7" s="4">
        <f>IF($L7="",6,IF($L7&lt;=5,1,IF($L7&lt;=10,2,IF($L7&lt;=15,3,IF($L7&lt;=20,4,IF($L7&lt;=25,5,6))))))</f>
        <v/>
      </c>
      <c r="N7" s="4">
        <f>IF($M7="","",$M7)</f>
        <v/>
      </c>
      <c r="O7" s="4">
        <f>IF($M7="","",$M7*2)</f>
        <v/>
      </c>
      <c r="P7" s="4">
        <f>IF($M7="","",$M7*3)</f>
        <v/>
      </c>
      <c r="Q7" s="4">
        <f>IF($M7="","",$M7*4)</f>
        <v/>
      </c>
      <c r="R7" s="4">
        <f>IF($M7="","",$M7*5)</f>
        <v/>
      </c>
      <c r="S7" s="4">
        <f>IF($M7="","",$M7*6)</f>
        <v/>
      </c>
    </row>
    <row r="8">
      <c r="A8" s="4" t="inlineStr">
        <is>
          <t>SJU</t>
        </is>
      </c>
      <c r="B8" s="4" t="inlineStr">
        <is>
          <t>St. John's</t>
        </is>
      </c>
      <c r="C8" s="8" t="n">
        <v>5</v>
      </c>
      <c r="D8" s="4" t="inlineStr">
        <is>
          <t>East</t>
        </is>
      </c>
      <c r="E8" s="15" t="n">
        <v>25.91</v>
      </c>
      <c r="F8" s="16" t="n">
        <v>0.9415</v>
      </c>
      <c r="G8" s="15" t="n">
        <v>25.5</v>
      </c>
      <c r="H8" s="15" t="n">
        <v>0.7468566880685941</v>
      </c>
      <c r="I8" s="15" t="n">
        <v>0.767287186145403</v>
      </c>
      <c r="J8" s="15" t="n">
        <v>0.9528287382303183</v>
      </c>
      <c r="K8" s="15" t="n">
        <v>0.8055003749359083</v>
      </c>
      <c r="L8" s="4" t="n">
        <v>13</v>
      </c>
      <c r="M8" s="4">
        <f>IF($L8="",6,IF($L8&lt;=5,1,IF($L8&lt;=10,2,IF($L8&lt;=15,3,IF($L8&lt;=20,4,IF($L8&lt;=25,5,6))))))</f>
        <v/>
      </c>
      <c r="N8" s="4">
        <f>IF($M8="","",$M8)</f>
        <v/>
      </c>
      <c r="O8" s="4">
        <f>IF($M8="","",$M8*2)</f>
        <v/>
      </c>
      <c r="P8" s="4">
        <f>IF($M8="","",$M8*3)</f>
        <v/>
      </c>
      <c r="Q8" s="4">
        <f>IF($M8="","",$M8*4)</f>
        <v/>
      </c>
      <c r="R8" s="4">
        <f>IF($M8="","",$M8*5)</f>
        <v/>
      </c>
      <c r="S8" s="4">
        <f>IF($M8="","",$M8*6)</f>
        <v/>
      </c>
    </row>
    <row r="9">
      <c r="A9" s="4" t="inlineStr">
        <is>
          <t>UNI</t>
        </is>
      </c>
      <c r="B9" s="4" t="inlineStr">
        <is>
          <t>Northern Iowa</t>
        </is>
      </c>
      <c r="C9" s="8" t="n">
        <v>12</v>
      </c>
      <c r="D9" s="4" t="inlineStr">
        <is>
          <t>East</t>
        </is>
      </c>
      <c r="E9" s="15" t="n">
        <v>11.81</v>
      </c>
      <c r="F9" s="16" t="n">
        <v>0.7752</v>
      </c>
      <c r="G9" s="15" t="n">
        <v>10.6</v>
      </c>
      <c r="H9" s="15" t="n">
        <v>-0.4143578878312683</v>
      </c>
      <c r="I9" s="15" t="n">
        <v>-0.07343005355797841</v>
      </c>
      <c r="J9" s="15" t="n">
        <v>-0.4233737957325601</v>
      </c>
      <c r="K9" s="15" t="n">
        <v>-0.2972871228109398</v>
      </c>
      <c r="L9" s="4" t="inlineStr"/>
      <c r="M9" s="4">
        <f>IF($L9="",6,IF($L9&lt;=5,1,IF($L9&lt;=10,2,IF($L9&lt;=15,3,IF($L9&lt;=20,4,IF($L9&lt;=25,5,6))))))</f>
        <v/>
      </c>
      <c r="N9" s="4">
        <f>IF($M9="","",$M9)</f>
        <v/>
      </c>
      <c r="O9" s="4">
        <f>IF($M9="","",$M9*2)</f>
        <v/>
      </c>
      <c r="P9" s="4">
        <f>IF($M9="","",$M9*3)</f>
        <v/>
      </c>
      <c r="Q9" s="4">
        <f>IF($M9="","",$M9*4)</f>
        <v/>
      </c>
      <c r="R9" s="4">
        <f>IF($M9="","",$M9*5)</f>
        <v/>
      </c>
      <c r="S9" s="4">
        <f>IF($M9="","",$M9*6)</f>
        <v/>
      </c>
    </row>
    <row r="10">
      <c r="A10" s="4" t="inlineStr">
        <is>
          <t>KU</t>
        </is>
      </c>
      <c r="B10" s="4" t="inlineStr">
        <is>
          <t>Kansas</t>
        </is>
      </c>
      <c r="C10" s="8" t="n">
        <v>4</v>
      </c>
      <c r="D10" s="4" t="inlineStr">
        <is>
          <t>East</t>
        </is>
      </c>
      <c r="E10" s="15" t="n">
        <v>24.44</v>
      </c>
      <c r="F10" s="16" t="n">
        <v>0.9278</v>
      </c>
      <c r="G10" s="15" t="n">
        <v>21.9</v>
      </c>
      <c r="H10" s="15" t="n">
        <v>0.6257938918577575</v>
      </c>
      <c r="I10" s="15" t="n">
        <v>0.6980278585210111</v>
      </c>
      <c r="J10" s="15" t="n">
        <v>0.6203234280110993</v>
      </c>
      <c r="K10" s="15" t="n">
        <v>0.6497081642282317</v>
      </c>
      <c r="L10" s="4" t="n">
        <v>14</v>
      </c>
      <c r="M10" s="4">
        <f>IF($L10="",6,IF($L10&lt;=5,1,IF($L10&lt;=10,2,IF($L10&lt;=15,3,IF($L10&lt;=20,4,IF($L10&lt;=25,5,6))))))</f>
        <v/>
      </c>
      <c r="N10" s="4">
        <f>IF($M10="","",$M10)</f>
        <v/>
      </c>
      <c r="O10" s="4">
        <f>IF($M10="","",$M10*2)</f>
        <v/>
      </c>
      <c r="P10" s="4">
        <f>IF($M10="","",$M10*3)</f>
        <v/>
      </c>
      <c r="Q10" s="4">
        <f>IF($M10="","",$M10*4)</f>
        <v/>
      </c>
      <c r="R10" s="4">
        <f>IF($M10="","",$M10*5)</f>
        <v/>
      </c>
      <c r="S10" s="4">
        <f>IF($M10="","",$M10*6)</f>
        <v/>
      </c>
    </row>
    <row r="11">
      <c r="A11" s="4" t="inlineStr">
        <is>
          <t>CBU</t>
        </is>
      </c>
      <c r="B11" s="4" t="inlineStr">
        <is>
          <t>California Baptist</t>
        </is>
      </c>
      <c r="C11" s="8" t="n">
        <v>13</v>
      </c>
      <c r="D11" s="4" t="inlineStr">
        <is>
          <t>East</t>
        </is>
      </c>
      <c r="E11" s="15" t="n">
        <v>5.99</v>
      </c>
      <c r="F11" s="16" t="n">
        <v>0.6889999999999999</v>
      </c>
      <c r="G11" s="15" t="n">
        <v>3.7</v>
      </c>
      <c r="H11" s="15" t="n">
        <v>-0.8936677340537648</v>
      </c>
      <c r="I11" s="15" t="n">
        <v>-0.509207720800501</v>
      </c>
      <c r="J11" s="15" t="n">
        <v>-1.060675640319396</v>
      </c>
      <c r="K11" s="15" t="n">
        <v>-0.8008587059815304</v>
      </c>
      <c r="L11" s="4" t="inlineStr"/>
      <c r="M11" s="4">
        <f>IF($L11="",6,IF($L11&lt;=5,1,IF($L11&lt;=10,2,IF($L11&lt;=15,3,IF($L11&lt;=20,4,IF($L11&lt;=25,5,6))))))</f>
        <v/>
      </c>
      <c r="N11" s="4">
        <f>IF($M11="","",$M11)</f>
        <v/>
      </c>
      <c r="O11" s="4">
        <f>IF($M11="","",$M11*2)</f>
        <v/>
      </c>
      <c r="P11" s="4">
        <f>IF($M11="","",$M11*3)</f>
        <v/>
      </c>
      <c r="Q11" s="4">
        <f>IF($M11="","",$M11*4)</f>
        <v/>
      </c>
      <c r="R11" s="4">
        <f>IF($M11="","",$M11*5)</f>
        <v/>
      </c>
      <c r="S11" s="4">
        <f>IF($M11="","",$M11*6)</f>
        <v/>
      </c>
    </row>
    <row r="12">
      <c r="A12" s="4" t="inlineStr">
        <is>
          <t>LOU</t>
        </is>
      </c>
      <c r="B12" s="4" t="inlineStr">
        <is>
          <t>Louisville</t>
        </is>
      </c>
      <c r="C12" s="8" t="n">
        <v>6</v>
      </c>
      <c r="D12" s="4" t="inlineStr">
        <is>
          <t>East</t>
        </is>
      </c>
      <c r="E12" s="15" t="n">
        <v>25.42</v>
      </c>
      <c r="F12" s="16" t="n">
        <v>0.9364</v>
      </c>
      <c r="G12" s="15" t="n">
        <v>21.8</v>
      </c>
      <c r="H12" s="15" t="n">
        <v>0.706502422664982</v>
      </c>
      <c r="I12" s="15" t="n">
        <v>0.7415045167377828</v>
      </c>
      <c r="J12" s="15" t="n">
        <v>0.611087169393899</v>
      </c>
      <c r="K12" s="15" t="n">
        <v>0.6948993422726916</v>
      </c>
      <c r="L12" s="4" t="n">
        <v>24</v>
      </c>
      <c r="M12" s="4">
        <f>IF($L12="",6,IF($L12&lt;=5,1,IF($L12&lt;=10,2,IF($L12&lt;=15,3,IF($L12&lt;=20,4,IF($L12&lt;=25,5,6))))))</f>
        <v/>
      </c>
      <c r="N12" s="4">
        <f>IF($M12="","",$M12)</f>
        <v/>
      </c>
      <c r="O12" s="4">
        <f>IF($M12="","",$M12*2)</f>
        <v/>
      </c>
      <c r="P12" s="4">
        <f>IF($M12="","",$M12*3)</f>
        <v/>
      </c>
      <c r="Q12" s="4">
        <f>IF($M12="","",$M12*4)</f>
        <v/>
      </c>
      <c r="R12" s="4">
        <f>IF($M12="","",$M12*5)</f>
        <v/>
      </c>
      <c r="S12" s="4">
        <f>IF($M12="","",$M12*6)</f>
        <v/>
      </c>
    </row>
    <row r="13">
      <c r="A13" s="4" t="inlineStr">
        <is>
          <t>USF</t>
        </is>
      </c>
      <c r="B13" s="4" t="inlineStr">
        <is>
          <t>South Florida</t>
        </is>
      </c>
      <c r="C13" s="8" t="n">
        <v>11</v>
      </c>
      <c r="D13" s="4" t="inlineStr">
        <is>
          <t>East</t>
        </is>
      </c>
      <c r="E13" s="15" t="n">
        <v>16.39</v>
      </c>
      <c r="F13" s="16" t="n">
        <v>0.8356</v>
      </c>
      <c r="G13" s="15" t="n">
        <v>15.8</v>
      </c>
      <c r="H13" s="15" t="n">
        <v>-0.03716903977301513</v>
      </c>
      <c r="I13" s="15" t="n">
        <v>0.2319176390342299</v>
      </c>
      <c r="J13" s="15" t="n">
        <v>0.05691165236186738</v>
      </c>
      <c r="K13" s="15" t="n">
        <v>0.08053147084324125</v>
      </c>
      <c r="L13" s="4" t="inlineStr"/>
      <c r="M13" s="4">
        <f>IF($L13="",6,IF($L13&lt;=5,1,IF($L13&lt;=10,2,IF($L13&lt;=15,3,IF($L13&lt;=20,4,IF($L13&lt;=25,5,6))))))</f>
        <v/>
      </c>
      <c r="N13" s="4">
        <f>IF($M13="","",$M13)</f>
        <v/>
      </c>
      <c r="O13" s="4">
        <f>IF($M13="","",$M13*2)</f>
        <v/>
      </c>
      <c r="P13" s="4">
        <f>IF($M13="","",$M13*3)</f>
        <v/>
      </c>
      <c r="Q13" s="4">
        <f>IF($M13="","",$M13*4)</f>
        <v/>
      </c>
      <c r="R13" s="4">
        <f>IF($M13="","",$M13*5)</f>
        <v/>
      </c>
      <c r="S13" s="4">
        <f>IF($M13="","",$M13*6)</f>
        <v/>
      </c>
    </row>
    <row r="14">
      <c r="A14" s="4" t="inlineStr">
        <is>
          <t>MSU</t>
        </is>
      </c>
      <c r="B14" s="4" t="inlineStr">
        <is>
          <t>Michigan State</t>
        </is>
      </c>
      <c r="C14" s="8" t="n">
        <v>3</v>
      </c>
      <c r="D14" s="4" t="inlineStr">
        <is>
          <t>East</t>
        </is>
      </c>
      <c r="E14" s="15" t="n">
        <v>28.31</v>
      </c>
      <c r="F14" s="16" t="n">
        <v>0.9438</v>
      </c>
      <c r="G14" s="15" t="n">
        <v>24.6</v>
      </c>
      <c r="H14" s="15" t="n">
        <v>0.944510232902613</v>
      </c>
      <c r="I14" s="15" t="n">
        <v>0.7789146645057021</v>
      </c>
      <c r="J14" s="15" t="n">
        <v>0.8697024106755138</v>
      </c>
      <c r="K14" s="15" t="n">
        <v>0.8678498284069195</v>
      </c>
      <c r="L14" s="4" t="n">
        <v>8</v>
      </c>
      <c r="M14" s="4">
        <f>IF($L14="",6,IF($L14&lt;=5,1,IF($L14&lt;=10,2,IF($L14&lt;=15,3,IF($L14&lt;=20,4,IF($L14&lt;=25,5,6))))))</f>
        <v/>
      </c>
      <c r="N14" s="4">
        <f>IF($M14="","",$M14)</f>
        <v/>
      </c>
      <c r="O14" s="4">
        <f>IF($M14="","",$M14*2)</f>
        <v/>
      </c>
      <c r="P14" s="4">
        <f>IF($M14="","",$M14*3)</f>
        <v/>
      </c>
      <c r="Q14" s="4">
        <f>IF($M14="","",$M14*4)</f>
        <v/>
      </c>
      <c r="R14" s="4">
        <f>IF($M14="","",$M14*5)</f>
        <v/>
      </c>
      <c r="S14" s="4">
        <f>IF($M14="","",$M14*6)</f>
        <v/>
      </c>
    </row>
    <row r="15">
      <c r="A15" s="4" t="inlineStr">
        <is>
          <t>NDSU</t>
        </is>
      </c>
      <c r="B15" s="4" t="inlineStr">
        <is>
          <t>North Dakota State</t>
        </is>
      </c>
      <c r="C15" s="8" t="n">
        <v>14</v>
      </c>
      <c r="D15" s="4" t="inlineStr">
        <is>
          <t>East</t>
        </is>
      </c>
      <c r="E15" s="15" t="n">
        <v>5.13</v>
      </c>
      <c r="F15" s="16" t="n">
        <v>0.6391</v>
      </c>
      <c r="G15" s="15" t="n">
        <v>4.2</v>
      </c>
      <c r="H15" s="15" t="n">
        <v>-0.9644935876192884</v>
      </c>
      <c r="I15" s="15" t="n">
        <v>-0.7614734469652557</v>
      </c>
      <c r="J15" s="15" t="n">
        <v>-1.014494347233394</v>
      </c>
      <c r="K15" s="15" t="n">
        <v>-0.9059367282939033</v>
      </c>
      <c r="L15" s="4" t="inlineStr"/>
      <c r="M15" s="4">
        <f>IF($L15="",6,IF($L15&lt;=5,1,IF($L15&lt;=10,2,IF($L15&lt;=15,3,IF($L15&lt;=20,4,IF($L15&lt;=25,5,6))))))</f>
        <v/>
      </c>
      <c r="N15" s="4">
        <f>IF($M15="","",$M15)</f>
        <v/>
      </c>
      <c r="O15" s="4">
        <f>IF($M15="","",$M15*2)</f>
        <v/>
      </c>
      <c r="P15" s="4">
        <f>IF($M15="","",$M15*3)</f>
        <v/>
      </c>
      <c r="Q15" s="4">
        <f>IF($M15="","",$M15*4)</f>
        <v/>
      </c>
      <c r="R15" s="4">
        <f>IF($M15="","",$M15*5)</f>
        <v/>
      </c>
      <c r="S15" s="4">
        <f>IF($M15="","",$M15*6)</f>
        <v/>
      </c>
    </row>
    <row r="16">
      <c r="A16" s="4" t="inlineStr">
        <is>
          <t>UCLA</t>
        </is>
      </c>
      <c r="B16" s="4" t="inlineStr">
        <is>
          <t>UCLA</t>
        </is>
      </c>
      <c r="C16" s="8" t="n">
        <v>7</v>
      </c>
      <c r="D16" s="4" t="inlineStr">
        <is>
          <t>East</t>
        </is>
      </c>
      <c r="E16" s="15" t="n">
        <v>21.67</v>
      </c>
      <c r="F16" s="16" t="n">
        <v>0.9107</v>
      </c>
      <c r="G16" s="15" t="n">
        <v>20.3</v>
      </c>
      <c r="H16" s="15" t="n">
        <v>0.3976687588618271</v>
      </c>
      <c r="I16" s="15" t="n">
        <v>0.6115800846248727</v>
      </c>
      <c r="J16" s="15" t="n">
        <v>0.4725432901358911</v>
      </c>
      <c r="K16" s="15" t="n">
        <v>0.4912563556974091</v>
      </c>
      <c r="L16" s="4" t="inlineStr"/>
      <c r="M16" s="4">
        <f>IF($L16="",6,IF($L16&lt;=5,1,IF($L16&lt;=10,2,IF($L16&lt;=15,3,IF($L16&lt;=20,4,IF($L16&lt;=25,5,6))))))</f>
        <v/>
      </c>
      <c r="N16" s="4">
        <f>IF($M16="","",$M16)</f>
        <v/>
      </c>
      <c r="O16" s="4">
        <f>IF($M16="","",$M16*2)</f>
        <v/>
      </c>
      <c r="P16" s="4">
        <f>IF($M16="","",$M16*3)</f>
        <v/>
      </c>
      <c r="Q16" s="4">
        <f>IF($M16="","",$M16*4)</f>
        <v/>
      </c>
      <c r="R16" s="4">
        <f>IF($M16="","",$M16*5)</f>
        <v/>
      </c>
      <c r="S16" s="4">
        <f>IF($M16="","",$M16*6)</f>
        <v/>
      </c>
    </row>
    <row r="17">
      <c r="A17" s="4" t="inlineStr">
        <is>
          <t>UCF</t>
        </is>
      </c>
      <c r="B17" s="4" t="inlineStr">
        <is>
          <t>UCF</t>
        </is>
      </c>
      <c r="C17" s="8" t="n">
        <v>10</v>
      </c>
      <c r="D17" s="4" t="inlineStr">
        <is>
          <t>East</t>
        </is>
      </c>
      <c r="E17" s="15" t="n">
        <v>15.04</v>
      </c>
      <c r="F17" s="16" t="n">
        <v>0.8116</v>
      </c>
      <c r="G17" s="15" t="n">
        <v>11.3</v>
      </c>
      <c r="H17" s="15" t="n">
        <v>-0.148349158742151</v>
      </c>
      <c r="I17" s="15" t="n">
        <v>0.1105874300571934</v>
      </c>
      <c r="J17" s="15" t="n">
        <v>-0.3587199854121563</v>
      </c>
      <c r="K17" s="15" t="n">
        <v>-0.1103140593298818</v>
      </c>
      <c r="L17" s="4" t="inlineStr"/>
      <c r="M17" s="4">
        <f>IF($L17="",6,IF($L17&lt;=5,1,IF($L17&lt;=10,2,IF($L17&lt;=15,3,IF($L17&lt;=20,4,IF($L17&lt;=25,5,6))))))</f>
        <v/>
      </c>
      <c r="N17" s="4">
        <f>IF($M17="","",$M17)</f>
        <v/>
      </c>
      <c r="O17" s="4">
        <f>IF($M17="","",$M17*2)</f>
        <v/>
      </c>
      <c r="P17" s="4">
        <f>IF($M17="","",$M17*3)</f>
        <v/>
      </c>
      <c r="Q17" s="4">
        <f>IF($M17="","",$M17*4)</f>
        <v/>
      </c>
      <c r="R17" s="4">
        <f>IF($M17="","",$M17*5)</f>
        <v/>
      </c>
      <c r="S17" s="4">
        <f>IF($M17="","",$M17*6)</f>
        <v/>
      </c>
    </row>
    <row r="18">
      <c r="A18" s="4" t="inlineStr">
        <is>
          <t>CONN</t>
        </is>
      </c>
      <c r="B18" s="4" t="inlineStr">
        <is>
          <t>UConn</t>
        </is>
      </c>
      <c r="C18" s="8" t="n">
        <v>2</v>
      </c>
      <c r="D18" s="4" t="inlineStr">
        <is>
          <t>East</t>
        </is>
      </c>
      <c r="E18" s="15" t="n">
        <v>27.87</v>
      </c>
      <c r="F18" s="16" t="n">
        <v>0.9517</v>
      </c>
      <c r="G18" s="15" t="n">
        <v>29</v>
      </c>
      <c r="H18" s="15" t="n">
        <v>0.9082737496830431</v>
      </c>
      <c r="I18" s="15" t="n">
        <v>0.8188525249606434</v>
      </c>
      <c r="J18" s="15" t="n">
        <v>1.276097789832337</v>
      </c>
      <c r="K18" s="15" t="n">
        <v>0.9689323310675266</v>
      </c>
      <c r="L18" s="4" t="n">
        <v>6</v>
      </c>
      <c r="M18" s="4">
        <f>IF($L18="",6,IF($L18&lt;=5,1,IF($L18&lt;=10,2,IF($L18&lt;=15,3,IF($L18&lt;=20,4,IF($L18&lt;=25,5,6))))))</f>
        <v/>
      </c>
      <c r="N18" s="4">
        <f>IF($M18="","",$M18)</f>
        <v/>
      </c>
      <c r="O18" s="4">
        <f>IF($M18="","",$M18*2)</f>
        <v/>
      </c>
      <c r="P18" s="4">
        <f>IF($M18="","",$M18*3)</f>
        <v/>
      </c>
      <c r="Q18" s="4">
        <f>IF($M18="","",$M18*4)</f>
        <v/>
      </c>
      <c r="R18" s="4">
        <f>IF($M18="","",$M18*5)</f>
        <v/>
      </c>
      <c r="S18" s="4">
        <f>IF($M18="","",$M18*6)</f>
        <v/>
      </c>
    </row>
    <row r="19">
      <c r="A19" s="4" t="inlineStr">
        <is>
          <t>FUR</t>
        </is>
      </c>
      <c r="B19" s="4" t="inlineStr">
        <is>
          <t>Furman</t>
        </is>
      </c>
      <c r="C19" s="8" t="n">
        <v>15</v>
      </c>
      <c r="D19" s="4" t="inlineStr">
        <is>
          <t>East</t>
        </is>
      </c>
      <c r="E19" s="15" t="n">
        <v>-1.98</v>
      </c>
      <c r="F19" s="16" t="n">
        <v>0.4442</v>
      </c>
      <c r="G19" s="15" t="n">
        <v>0.9</v>
      </c>
      <c r="H19" s="15" t="n">
        <v>-1.55004221419007</v>
      </c>
      <c r="I19" s="15" t="n">
        <v>-1.746775852366272</v>
      </c>
      <c r="J19" s="15" t="n">
        <v>-1.319290881601011</v>
      </c>
      <c r="K19" s="15" t="n">
        <v>-1.561211154404476</v>
      </c>
      <c r="L19" s="4" t="inlineStr"/>
      <c r="M19" s="4">
        <f>IF($L19="",6,IF($L19&lt;=5,1,IF($L19&lt;=10,2,IF($L19&lt;=15,3,IF($L19&lt;=20,4,IF($L19&lt;=25,5,6))))))</f>
        <v/>
      </c>
      <c r="N19" s="4">
        <f>IF($M19="","",$M19)</f>
        <v/>
      </c>
      <c r="O19" s="4">
        <f>IF($M19="","",$M19*2)</f>
        <v/>
      </c>
      <c r="P19" s="4">
        <f>IF($M19="","",$M19*3)</f>
        <v/>
      </c>
      <c r="Q19" s="4">
        <f>IF($M19="","",$M19*4)</f>
        <v/>
      </c>
      <c r="R19" s="4">
        <f>IF($M19="","",$M19*5)</f>
        <v/>
      </c>
      <c r="S19" s="4">
        <f>IF($M19="","",$M19*6)</f>
        <v/>
      </c>
    </row>
    <row r="20">
      <c r="A20" s="4" t="inlineStr">
        <is>
          <t>ARIZ</t>
        </is>
      </c>
      <c r="B20" s="4" t="inlineStr">
        <is>
          <t>Arizona</t>
        </is>
      </c>
      <c r="C20" s="8" t="n">
        <v>1</v>
      </c>
      <c r="D20" s="4" t="inlineStr">
        <is>
          <t>West</t>
        </is>
      </c>
      <c r="E20" s="15" t="n">
        <v>37.66</v>
      </c>
      <c r="F20" s="16" t="n">
        <v>0.9776</v>
      </c>
      <c r="G20" s="15" t="n">
        <v>32</v>
      </c>
      <c r="H20" s="15" t="n">
        <v>1.714535501318479</v>
      </c>
      <c r="I20" s="15" t="n">
        <v>0.949788042148362</v>
      </c>
      <c r="J20" s="15" t="n">
        <v>1.553185548348353</v>
      </c>
      <c r="K20" s="15" t="n">
        <v>1.406536402366406</v>
      </c>
      <c r="L20" s="4" t="n">
        <v>2</v>
      </c>
      <c r="M20" s="4">
        <f>IF($L20="",6,IF($L20&lt;=5,1,IF($L20&lt;=10,2,IF($L20&lt;=15,3,IF($L20&lt;=20,4,IF($L20&lt;=25,5,6))))))</f>
        <v/>
      </c>
      <c r="N20" s="4">
        <f>IF($M20="","",$M20)</f>
        <v/>
      </c>
      <c r="O20" s="4">
        <f>IF($M20="","",$M20*2)</f>
        <v/>
      </c>
      <c r="P20" s="4">
        <f>IF($M20="","",$M20*3)</f>
        <v/>
      </c>
      <c r="Q20" s="4">
        <f>IF($M20="","",$M20*4)</f>
        <v/>
      </c>
      <c r="R20" s="4">
        <f>IF($M20="","",$M20*5)</f>
        <v/>
      </c>
      <c r="S20" s="4">
        <f>IF($M20="","",$M20*6)</f>
        <v/>
      </c>
    </row>
    <row r="21">
      <c r="A21" s="4" t="inlineStr">
        <is>
          <t>LIU</t>
        </is>
      </c>
      <c r="B21" s="4" t="inlineStr">
        <is>
          <t>Long Island</t>
        </is>
      </c>
      <c r="C21" s="8" t="n">
        <v>16</v>
      </c>
      <c r="D21" s="4" t="inlineStr">
        <is>
          <t>West</t>
        </is>
      </c>
      <c r="E21" s="15" t="n">
        <v>-3.95</v>
      </c>
      <c r="F21" s="16" t="n">
        <v>0.3404</v>
      </c>
      <c r="G21" s="15" t="n">
        <v>-3.3</v>
      </c>
      <c r="H21" s="15" t="n">
        <v>-1.712282832241327</v>
      </c>
      <c r="I21" s="15" t="n">
        <v>-2.271529006191955</v>
      </c>
      <c r="J21" s="15" t="n">
        <v>-1.707213743523433</v>
      </c>
      <c r="K21" s="15" t="n">
        <v>-1.906751720944573</v>
      </c>
      <c r="L21" s="4" t="inlineStr"/>
      <c r="M21" s="4">
        <f>IF($L21="",6,IF($L21&lt;=5,1,IF($L21&lt;=10,2,IF($L21&lt;=15,3,IF($L21&lt;=20,4,IF($L21&lt;=25,5,6))))))</f>
        <v/>
      </c>
      <c r="N21" s="4">
        <f>IF($M21="","",$M21)</f>
        <v/>
      </c>
      <c r="O21" s="4">
        <f>IF($M21="","",$M21*2)</f>
        <v/>
      </c>
      <c r="P21" s="4">
        <f>IF($M21="","",$M21*3)</f>
        <v/>
      </c>
      <c r="Q21" s="4">
        <f>IF($M21="","",$M21*4)</f>
        <v/>
      </c>
      <c r="R21" s="4">
        <f>IF($M21="","",$M21*5)</f>
        <v/>
      </c>
      <c r="S21" s="4">
        <f>IF($M21="","",$M21*6)</f>
        <v/>
      </c>
    </row>
    <row r="22">
      <c r="A22" s="4" t="inlineStr">
        <is>
          <t>NOVA</t>
        </is>
      </c>
      <c r="B22" s="4" t="inlineStr">
        <is>
          <t>Villanova</t>
        </is>
      </c>
      <c r="C22" s="8" t="n">
        <v>8</v>
      </c>
      <c r="D22" s="4" t="inlineStr">
        <is>
          <t>West</t>
        </is>
      </c>
      <c r="E22" s="15" t="n">
        <v>19.97</v>
      </c>
      <c r="F22" s="16" t="n">
        <v>0.8803</v>
      </c>
      <c r="G22" s="15" t="n">
        <v>15</v>
      </c>
      <c r="H22" s="15" t="n">
        <v>0.2576641646043966</v>
      </c>
      <c r="I22" s="15" t="n">
        <v>0.45789515325396</v>
      </c>
      <c r="J22" s="15" t="n">
        <v>-0.0169784165757369</v>
      </c>
      <c r="K22" s="15" t="n">
        <v>0.2590843653367104</v>
      </c>
      <c r="L22" s="4" t="inlineStr"/>
      <c r="M22" s="4">
        <f>IF($L22="",6,IF($L22&lt;=5,1,IF($L22&lt;=10,2,IF($L22&lt;=15,3,IF($L22&lt;=20,4,IF($L22&lt;=25,5,6))))))</f>
        <v/>
      </c>
      <c r="N22" s="4">
        <f>IF($M22="","",$M22)</f>
        <v/>
      </c>
      <c r="O22" s="4">
        <f>IF($M22="","",$M22*2)</f>
        <v/>
      </c>
      <c r="P22" s="4">
        <f>IF($M22="","",$M22*3)</f>
        <v/>
      </c>
      <c r="Q22" s="4">
        <f>IF($M22="","",$M22*4)</f>
        <v/>
      </c>
      <c r="R22" s="4">
        <f>IF($M22="","",$M22*5)</f>
        <v/>
      </c>
      <c r="S22" s="4">
        <f>IF($M22="","",$M22*6)</f>
        <v/>
      </c>
    </row>
    <row r="23">
      <c r="A23" s="4" t="inlineStr">
        <is>
          <t>USU</t>
        </is>
      </c>
      <c r="B23" s="4" t="inlineStr">
        <is>
          <t>Utah State</t>
        </is>
      </c>
      <c r="C23" s="8" t="n">
        <v>9</v>
      </c>
      <c r="D23" s="4" t="inlineStr">
        <is>
          <t>West</t>
        </is>
      </c>
      <c r="E23" s="15" t="n">
        <v>20.76</v>
      </c>
      <c r="F23" s="16" t="n">
        <v>0.8952</v>
      </c>
      <c r="G23" s="15" t="n">
        <v>17.6</v>
      </c>
      <c r="H23" s="15" t="n">
        <v>0.3227251231122615</v>
      </c>
      <c r="I23" s="15" t="n">
        <v>0.5332209913272036</v>
      </c>
      <c r="J23" s="15" t="n">
        <v>0.2231643074714769</v>
      </c>
      <c r="K23" s="15" t="n">
        <v>0.3715084730772951</v>
      </c>
      <c r="L23" s="4" t="inlineStr"/>
      <c r="M23" s="4">
        <f>IF($L23="",6,IF($L23&lt;=5,1,IF($L23&lt;=10,2,IF($L23&lt;=15,3,IF($L23&lt;=20,4,IF($L23&lt;=25,5,6))))))</f>
        <v/>
      </c>
      <c r="N23" s="4">
        <f>IF($M23="","",$M23)</f>
        <v/>
      </c>
      <c r="O23" s="4">
        <f>IF($M23="","",$M23*2)</f>
        <v/>
      </c>
      <c r="P23" s="4">
        <f>IF($M23="","",$M23*3)</f>
        <v/>
      </c>
      <c r="Q23" s="4">
        <f>IF($M23="","",$M23*4)</f>
        <v/>
      </c>
      <c r="R23" s="4">
        <f>IF($M23="","",$M23*5)</f>
        <v/>
      </c>
      <c r="S23" s="4">
        <f>IF($M23="","",$M23*6)</f>
        <v/>
      </c>
    </row>
    <row r="24">
      <c r="A24" s="4" t="inlineStr">
        <is>
          <t>WIS</t>
        </is>
      </c>
      <c r="B24" s="4" t="inlineStr">
        <is>
          <t>Wisconsin</t>
        </is>
      </c>
      <c r="C24" s="8" t="n">
        <v>5</v>
      </c>
      <c r="D24" s="4" t="inlineStr">
        <is>
          <t>West</t>
        </is>
      </c>
      <c r="E24" s="15" t="n">
        <v>23.39</v>
      </c>
      <c r="F24" s="16" t="n">
        <v>0.9294</v>
      </c>
      <c r="G24" s="15" t="n">
        <v>21.7</v>
      </c>
      <c r="H24" s="15" t="n">
        <v>0.539320465992874</v>
      </c>
      <c r="I24" s="15" t="n">
        <v>0.7061165391194805</v>
      </c>
      <c r="J24" s="15" t="n">
        <v>0.6018509107766983</v>
      </c>
      <c r="K24" s="15" t="n">
        <v>0.6133317027831423</v>
      </c>
      <c r="L24" s="4" t="n">
        <v>23</v>
      </c>
      <c r="M24" s="4">
        <f>IF($L24="",6,IF($L24&lt;=5,1,IF($L24&lt;=10,2,IF($L24&lt;=15,3,IF($L24&lt;=20,4,IF($L24&lt;=25,5,6))))))</f>
        <v/>
      </c>
      <c r="N24" s="4">
        <f>IF($M24="","",$M24)</f>
        <v/>
      </c>
      <c r="O24" s="4">
        <f>IF($M24="","",$M24*2)</f>
        <v/>
      </c>
      <c r="P24" s="4">
        <f>IF($M24="","",$M24*3)</f>
        <v/>
      </c>
      <c r="Q24" s="4">
        <f>IF($M24="","",$M24*4)</f>
        <v/>
      </c>
      <c r="R24" s="4">
        <f>IF($M24="","",$M24*5)</f>
        <v/>
      </c>
      <c r="S24" s="4">
        <f>IF($M24="","",$M24*6)</f>
        <v/>
      </c>
    </row>
    <row r="25">
      <c r="A25" s="4" t="inlineStr">
        <is>
          <t>HPU</t>
        </is>
      </c>
      <c r="B25" s="4" t="inlineStr">
        <is>
          <t>High Point</t>
        </is>
      </c>
      <c r="C25" s="8" t="n">
        <v>12</v>
      </c>
      <c r="D25" s="4" t="inlineStr">
        <is>
          <t>West</t>
        </is>
      </c>
      <c r="E25" s="15" t="n">
        <v>8.4</v>
      </c>
      <c r="F25" s="16" t="n">
        <v>0.6993</v>
      </c>
      <c r="G25" s="15" t="n">
        <v>8.6</v>
      </c>
      <c r="H25" s="15" t="n">
        <v>-0.6951906327829371</v>
      </c>
      <c r="I25" s="15" t="n">
        <v>-0.4571368394478559</v>
      </c>
      <c r="J25" s="15" t="n">
        <v>-0.6080989680765706</v>
      </c>
      <c r="K25" s="15" t="n">
        <v>-0.590098888939067</v>
      </c>
      <c r="L25" s="4" t="inlineStr"/>
      <c r="M25" s="4">
        <f>IF($L25="",6,IF($L25&lt;=5,1,IF($L25&lt;=10,2,IF($L25&lt;=15,3,IF($L25&lt;=20,4,IF($L25&lt;=25,5,6))))))</f>
        <v/>
      </c>
      <c r="N25" s="4">
        <f>IF($M25="","",$M25)</f>
        <v/>
      </c>
      <c r="O25" s="4">
        <f>IF($M25="","",$M25*2)</f>
        <v/>
      </c>
      <c r="P25" s="4">
        <f>IF($M25="","",$M25*3)</f>
        <v/>
      </c>
      <c r="Q25" s="4">
        <f>IF($M25="","",$M25*4)</f>
        <v/>
      </c>
      <c r="R25" s="4">
        <f>IF($M25="","",$M25*5)</f>
        <v/>
      </c>
      <c r="S25" s="4">
        <f>IF($M25="","",$M25*6)</f>
        <v/>
      </c>
    </row>
    <row r="26">
      <c r="A26" s="4" t="inlineStr">
        <is>
          <t>ARK</t>
        </is>
      </c>
      <c r="B26" s="4" t="inlineStr">
        <is>
          <t>Arkansas</t>
        </is>
      </c>
      <c r="C26" s="8" t="n">
        <v>4</v>
      </c>
      <c r="D26" s="4" t="inlineStr">
        <is>
          <t>West</t>
        </is>
      </c>
      <c r="E26" s="15" t="n">
        <v>26.05</v>
      </c>
      <c r="F26" s="16" t="n">
        <v>0.9337</v>
      </c>
      <c r="G26" s="15" t="n">
        <v>23.8</v>
      </c>
      <c r="H26" s="15" t="n">
        <v>0.7583864781839119</v>
      </c>
      <c r="I26" s="15" t="n">
        <v>0.727854868227866</v>
      </c>
      <c r="J26" s="15" t="n">
        <v>0.7958123417379095</v>
      </c>
      <c r="K26" s="15" t="n">
        <v>0.7570568805877953</v>
      </c>
      <c r="L26" s="4" t="n">
        <v>17</v>
      </c>
      <c r="M26" s="4">
        <f>IF($L26="",6,IF($L26&lt;=5,1,IF($L26&lt;=10,2,IF($L26&lt;=15,3,IF($L26&lt;=20,4,IF($L26&lt;=25,5,6))))))</f>
        <v/>
      </c>
      <c r="N26" s="4">
        <f>IF($M26="","",$M26)</f>
        <v/>
      </c>
      <c r="O26" s="4">
        <f>IF($M26="","",$M26*2)</f>
        <v/>
      </c>
      <c r="P26" s="4">
        <f>IF($M26="","",$M26*3)</f>
        <v/>
      </c>
      <c r="Q26" s="4">
        <f>IF($M26="","",$M26*4)</f>
        <v/>
      </c>
      <c r="R26" s="4">
        <f>IF($M26="","",$M26*5)</f>
        <v/>
      </c>
      <c r="S26" s="4">
        <f>IF($M26="","",$M26*6)</f>
        <v/>
      </c>
    </row>
    <row r="27">
      <c r="A27" s="4" t="inlineStr">
        <is>
          <t>HAW</t>
        </is>
      </c>
      <c r="B27" s="4" t="inlineStr">
        <is>
          <t>Hawaiʻi</t>
        </is>
      </c>
      <c r="C27" s="8" t="n">
        <v>13</v>
      </c>
      <c r="D27" s="4" t="inlineStr">
        <is>
          <t>West</t>
        </is>
      </c>
      <c r="E27" s="15" t="n">
        <v>5.97</v>
      </c>
      <c r="F27" s="16" t="n">
        <v>0.6352</v>
      </c>
      <c r="G27" s="15" t="n">
        <v>3.3</v>
      </c>
      <c r="H27" s="15" t="n">
        <v>-0.8953148469273817</v>
      </c>
      <c r="I27" s="15" t="n">
        <v>-0.7811896059240241</v>
      </c>
      <c r="J27" s="15" t="n">
        <v>-1.097620674788198</v>
      </c>
      <c r="K27" s="15" t="n">
        <v>-0.9059474695414107</v>
      </c>
      <c r="L27" s="4" t="inlineStr"/>
      <c r="M27" s="4">
        <f>IF($L27="",6,IF($L27&lt;=5,1,IF($L27&lt;=10,2,IF($L27&lt;=15,3,IF($L27&lt;=20,4,IF($L27&lt;=25,5,6))))))</f>
        <v/>
      </c>
      <c r="N27" s="4">
        <f>IF($M27="","",$M27)</f>
        <v/>
      </c>
      <c r="O27" s="4">
        <f>IF($M27="","",$M27*2)</f>
        <v/>
      </c>
      <c r="P27" s="4">
        <f>IF($M27="","",$M27*3)</f>
        <v/>
      </c>
      <c r="Q27" s="4">
        <f>IF($M27="","",$M27*4)</f>
        <v/>
      </c>
      <c r="R27" s="4">
        <f>IF($M27="","",$M27*5)</f>
        <v/>
      </c>
      <c r="S27" s="4">
        <f>IF($M27="","",$M27*6)</f>
        <v/>
      </c>
    </row>
    <row r="28">
      <c r="A28" s="4" t="inlineStr">
        <is>
          <t>BYU</t>
        </is>
      </c>
      <c r="B28" s="4" t="inlineStr">
        <is>
          <t>BYU</t>
        </is>
      </c>
      <c r="C28" s="8" t="n">
        <v>6</v>
      </c>
      <c r="D28" s="4" t="inlineStr">
        <is>
          <t>West</t>
        </is>
      </c>
      <c r="E28" s="15" t="n">
        <v>23.25</v>
      </c>
      <c r="F28" s="16" t="n">
        <v>0.8866000000000001</v>
      </c>
      <c r="G28" s="15" t="n">
        <v>16.5</v>
      </c>
      <c r="H28" s="15" t="n">
        <v>0.5277906758775561</v>
      </c>
      <c r="I28" s="15" t="n">
        <v>0.4897443331104325</v>
      </c>
      <c r="J28" s="15" t="n">
        <v>0.121565462682271</v>
      </c>
      <c r="K28" s="15" t="n">
        <v>0.4129181526102416</v>
      </c>
      <c r="L28" s="4" t="inlineStr"/>
      <c r="M28" s="4">
        <f>IF($L28="",6,IF($L28&lt;=5,1,IF($L28&lt;=10,2,IF($L28&lt;=15,3,IF($L28&lt;=20,4,IF($L28&lt;=25,5,6))))))</f>
        <v/>
      </c>
      <c r="N28" s="4">
        <f>IF($M28="","",$M28)</f>
        <v/>
      </c>
      <c r="O28" s="4">
        <f>IF($M28="","",$M28*2)</f>
        <v/>
      </c>
      <c r="P28" s="4">
        <f>IF($M28="","",$M28*3)</f>
        <v/>
      </c>
      <c r="Q28" s="4">
        <f>IF($M28="","",$M28*4)</f>
        <v/>
      </c>
      <c r="R28" s="4">
        <f>IF($M28="","",$M28*5)</f>
        <v/>
      </c>
      <c r="S28" s="4">
        <f>IF($M28="","",$M28*6)</f>
        <v/>
      </c>
    </row>
    <row r="29">
      <c r="A29" s="4" t="inlineStr">
        <is>
          <t>SMU</t>
        </is>
      </c>
      <c r="B29" s="4" t="inlineStr">
        <is>
          <t>SMU</t>
        </is>
      </c>
      <c r="C29" s="8" t="n">
        <v>11</v>
      </c>
      <c r="D29" s="4" t="inlineStr">
        <is>
          <t>West</t>
        </is>
      </c>
      <c r="E29" s="15" t="n">
        <v>18.09</v>
      </c>
      <c r="F29" s="16" t="n">
        <v>0.8608</v>
      </c>
      <c r="G29" s="15" t="n">
        <v>16.6</v>
      </c>
      <c r="H29" s="15" t="n">
        <v>0.102835554484415</v>
      </c>
      <c r="I29" s="15" t="n">
        <v>0.3593143584601181</v>
      </c>
      <c r="J29" s="15" t="n">
        <v>0.1308017212994717</v>
      </c>
      <c r="K29" s="15" t="n">
        <v>0.1995946775796753</v>
      </c>
      <c r="L29" s="4" t="inlineStr"/>
      <c r="M29" s="4">
        <f>IF($L29="",6,IF($L29&lt;=5,1,IF($L29&lt;=10,2,IF($L29&lt;=15,3,IF($L29&lt;=20,4,IF($L29&lt;=25,5,6))))))</f>
        <v/>
      </c>
      <c r="N29" s="4">
        <f>IF($M29="","",$M29)</f>
        <v/>
      </c>
      <c r="O29" s="4">
        <f>IF($M29="","",$M29*2)</f>
        <v/>
      </c>
      <c r="P29" s="4">
        <f>IF($M29="","",$M29*3)</f>
        <v/>
      </c>
      <c r="Q29" s="4">
        <f>IF($M29="","",$M29*4)</f>
        <v/>
      </c>
      <c r="R29" s="4">
        <f>IF($M29="","",$M29*5)</f>
        <v/>
      </c>
      <c r="S29" s="4">
        <f>IF($M29="","",$M29*6)</f>
        <v/>
      </c>
    </row>
    <row r="30">
      <c r="A30" s="4" t="inlineStr">
        <is>
          <t>MIAOH</t>
        </is>
      </c>
      <c r="B30" s="4" t="inlineStr">
        <is>
          <t>Miami (OH)</t>
        </is>
      </c>
      <c r="C30" s="8" t="n">
        <v>11</v>
      </c>
      <c r="D30" s="4" t="inlineStr">
        <is>
          <t>West</t>
        </is>
      </c>
      <c r="E30" s="15" t="n">
        <v>8.26</v>
      </c>
      <c r="F30" s="16" t="n">
        <v>0.7175</v>
      </c>
      <c r="G30" s="15" t="n">
        <v>8.1</v>
      </c>
      <c r="H30" s="15" t="n">
        <v>-0.706720422898255</v>
      </c>
      <c r="I30" s="15" t="n">
        <v>-0.3651280976402699</v>
      </c>
      <c r="J30" s="15" t="n">
        <v>-0.6542802611625732</v>
      </c>
      <c r="K30" s="15" t="n">
        <v>-0.5740530686240398</v>
      </c>
      <c r="L30" s="4" t="n">
        <v>20</v>
      </c>
      <c r="M30" s="4">
        <f>IF($L30="",6,IF($L30&lt;=5,1,IF($L30&lt;=10,2,IF($L30&lt;=15,3,IF($L30&lt;=20,4,IF($L30&lt;=25,5,6))))))</f>
        <v/>
      </c>
      <c r="N30" s="4">
        <f>IF($M30="","",$M30)</f>
        <v/>
      </c>
      <c r="O30" s="4">
        <f>IF($M30="","",$M30*2)</f>
        <v/>
      </c>
      <c r="P30" s="4">
        <f>IF($M30="","",$M30*3)</f>
        <v/>
      </c>
      <c r="Q30" s="4">
        <f>IF($M30="","",$M30*4)</f>
        <v/>
      </c>
      <c r="R30" s="4">
        <f>IF($M30="","",$M30*5)</f>
        <v/>
      </c>
      <c r="S30" s="4">
        <f>IF($M30="","",$M30*6)</f>
        <v/>
      </c>
    </row>
    <row r="31">
      <c r="A31" s="4" t="inlineStr">
        <is>
          <t>GONZ</t>
        </is>
      </c>
      <c r="B31" s="4" t="inlineStr">
        <is>
          <t>Gonzaga</t>
        </is>
      </c>
      <c r="C31" s="8" t="n">
        <v>3</v>
      </c>
      <c r="D31" s="4" t="inlineStr">
        <is>
          <t>West</t>
        </is>
      </c>
      <c r="E31" s="15" t="n">
        <v>28.1</v>
      </c>
      <c r="F31" s="16" t="n">
        <v>0.9446</v>
      </c>
      <c r="G31" s="15" t="n">
        <v>27.7</v>
      </c>
      <c r="H31" s="15" t="n">
        <v>0.9272155477296367</v>
      </c>
      <c r="I31" s="15" t="n">
        <v>0.7829590048049369</v>
      </c>
      <c r="J31" s="15" t="n">
        <v>1.15602642780873</v>
      </c>
      <c r="K31" s="15" t="n">
        <v>0.933928477725765</v>
      </c>
      <c r="L31" s="4" t="n">
        <v>12</v>
      </c>
      <c r="M31" s="4">
        <f>IF($L31="",6,IF($L31&lt;=5,1,IF($L31&lt;=10,2,IF($L31&lt;=15,3,IF($L31&lt;=20,4,IF($L31&lt;=25,5,6))))))</f>
        <v/>
      </c>
      <c r="N31" s="4">
        <f>IF($M31="","",$M31)</f>
        <v/>
      </c>
      <c r="O31" s="4">
        <f>IF($M31="","",$M31*2)</f>
        <v/>
      </c>
      <c r="P31" s="4">
        <f>IF($M31="","",$M31*3)</f>
        <v/>
      </c>
      <c r="Q31" s="4">
        <f>IF($M31="","",$M31*4)</f>
        <v/>
      </c>
      <c r="R31" s="4">
        <f>IF($M31="","",$M31*5)</f>
        <v/>
      </c>
      <c r="S31" s="4">
        <f>IF($M31="","",$M31*6)</f>
        <v/>
      </c>
    </row>
    <row r="32">
      <c r="A32" s="4" t="inlineStr">
        <is>
          <t>KENN</t>
        </is>
      </c>
      <c r="B32" s="4" t="inlineStr">
        <is>
          <t>Kennesaw State</t>
        </is>
      </c>
      <c r="C32" s="8" t="n">
        <v>14</v>
      </c>
      <c r="D32" s="4" t="inlineStr">
        <is>
          <t>West</t>
        </is>
      </c>
      <c r="E32" s="15" t="n">
        <v>0.57</v>
      </c>
      <c r="F32" s="16" t="n">
        <v>0.5338000000000001</v>
      </c>
      <c r="G32" s="15" t="n">
        <v>1</v>
      </c>
      <c r="H32" s="15" t="n">
        <v>-1.340035322803925</v>
      </c>
      <c r="I32" s="15" t="n">
        <v>-1.293809738852003</v>
      </c>
      <c r="J32" s="15" t="n">
        <v>-1.310054622983811</v>
      </c>
      <c r="K32" s="15" t="n">
        <v>-1.316361193465723</v>
      </c>
      <c r="L32" s="4" t="inlineStr"/>
      <c r="M32" s="4">
        <f>IF($L32="",6,IF($L32&lt;=5,1,IF($L32&lt;=10,2,IF($L32&lt;=15,3,IF($L32&lt;=20,4,IF($L32&lt;=25,5,6))))))</f>
        <v/>
      </c>
      <c r="N32" s="4">
        <f>IF($M32="","",$M32)</f>
        <v/>
      </c>
      <c r="O32" s="4">
        <f>IF($M32="","",$M32*2)</f>
        <v/>
      </c>
      <c r="P32" s="4">
        <f>IF($M32="","",$M32*3)</f>
        <v/>
      </c>
      <c r="Q32" s="4">
        <f>IF($M32="","",$M32*4)</f>
        <v/>
      </c>
      <c r="R32" s="4">
        <f>IF($M32="","",$M32*5)</f>
        <v/>
      </c>
      <c r="S32" s="4">
        <f>IF($M32="","",$M32*6)</f>
        <v/>
      </c>
    </row>
    <row r="33">
      <c r="A33" s="4" t="inlineStr">
        <is>
          <t>MIA</t>
        </is>
      </c>
      <c r="B33" s="4" t="inlineStr">
        <is>
          <t>Miami (FL)</t>
        </is>
      </c>
      <c r="C33" s="8" t="n">
        <v>7</v>
      </c>
      <c r="D33" s="4" t="inlineStr">
        <is>
          <t>West</t>
        </is>
      </c>
      <c r="E33" s="15" t="n">
        <v>20.68</v>
      </c>
      <c r="F33" s="16" t="n">
        <v>0.8844</v>
      </c>
      <c r="G33" s="15" t="n">
        <v>18.6</v>
      </c>
      <c r="H33" s="15" t="n">
        <v>0.316136671617794</v>
      </c>
      <c r="I33" s="15" t="n">
        <v>0.478622397287537</v>
      </c>
      <c r="J33" s="15" t="n">
        <v>0.3155268936434822</v>
      </c>
      <c r="K33" s="15" t="n">
        <v>0.372854231108626</v>
      </c>
      <c r="L33" s="4" t="inlineStr"/>
      <c r="M33" s="4">
        <f>IF($L33="",6,IF($L33&lt;=5,1,IF($L33&lt;=10,2,IF($L33&lt;=15,3,IF($L33&lt;=20,4,IF($L33&lt;=25,5,6))))))</f>
        <v/>
      </c>
      <c r="N33" s="4">
        <f>IF($M33="","",$M33)</f>
        <v/>
      </c>
      <c r="O33" s="4">
        <f>IF($M33="","",$M33*2)</f>
        <v/>
      </c>
      <c r="P33" s="4">
        <f>IF($M33="","",$M33*3)</f>
        <v/>
      </c>
      <c r="Q33" s="4">
        <f>IF($M33="","",$M33*4)</f>
        <v/>
      </c>
      <c r="R33" s="4">
        <f>IF($M33="","",$M33*5)</f>
        <v/>
      </c>
      <c r="S33" s="4">
        <f>IF($M33="","",$M33*6)</f>
        <v/>
      </c>
    </row>
    <row r="34">
      <c r="A34" s="4" t="inlineStr">
        <is>
          <t>MIZZ</t>
        </is>
      </c>
      <c r="B34" s="4" t="inlineStr">
        <is>
          <t>Missouri</t>
        </is>
      </c>
      <c r="C34" s="8" t="n">
        <v>10</v>
      </c>
      <c r="D34" s="4" t="inlineStr">
        <is>
          <t>West</t>
        </is>
      </c>
      <c r="E34" s="15" t="n">
        <v>15.39</v>
      </c>
      <c r="F34" s="16" t="n">
        <v>0.8515</v>
      </c>
      <c r="G34" s="15" t="n">
        <v>14.4</v>
      </c>
      <c r="H34" s="15" t="n">
        <v>-0.1195246834538564</v>
      </c>
      <c r="I34" s="15" t="n">
        <v>0.3122989024815166</v>
      </c>
      <c r="J34" s="15" t="n">
        <v>-0.07239596827894003</v>
      </c>
      <c r="K34" s="15" t="n">
        <v>0.04339575041725324</v>
      </c>
      <c r="L34" s="4" t="inlineStr"/>
      <c r="M34" s="4">
        <f>IF($L34="",6,IF($L34&lt;=5,1,IF($L34&lt;=10,2,IF($L34&lt;=15,3,IF($L34&lt;=20,4,IF($L34&lt;=25,5,6))))))</f>
        <v/>
      </c>
      <c r="N34" s="4">
        <f>IF($M34="","",$M34)</f>
        <v/>
      </c>
      <c r="O34" s="4">
        <f>IF($M34="","",$M34*2)</f>
        <v/>
      </c>
      <c r="P34" s="4">
        <f>IF($M34="","",$M34*3)</f>
        <v/>
      </c>
      <c r="Q34" s="4">
        <f>IF($M34="","",$M34*4)</f>
        <v/>
      </c>
      <c r="R34" s="4">
        <f>IF($M34="","",$M34*5)</f>
        <v/>
      </c>
      <c r="S34" s="4">
        <f>IF($M34="","",$M34*6)</f>
        <v/>
      </c>
    </row>
    <row r="35">
      <c r="A35" s="4" t="inlineStr">
        <is>
          <t>PUR</t>
        </is>
      </c>
      <c r="B35" s="4" t="inlineStr">
        <is>
          <t>Purdue</t>
        </is>
      </c>
      <c r="C35" s="8" t="n">
        <v>2</v>
      </c>
      <c r="D35" s="4" t="inlineStr">
        <is>
          <t>West</t>
        </is>
      </c>
      <c r="E35" s="15" t="n">
        <v>31.2</v>
      </c>
      <c r="F35" s="16" t="n">
        <v>0.9636</v>
      </c>
      <c r="G35" s="15" t="n">
        <v>30.3</v>
      </c>
      <c r="H35" s="15" t="n">
        <v>1.182518043140244</v>
      </c>
      <c r="I35" s="15" t="n">
        <v>0.8790120869117574</v>
      </c>
      <c r="J35" s="15" t="n">
        <v>1.396169151855944</v>
      </c>
      <c r="K35" s="15" t="n">
        <v>1.129703735639199</v>
      </c>
      <c r="L35" s="4" t="n">
        <v>18</v>
      </c>
      <c r="M35" s="4">
        <f>IF($L35="",6,IF($L35&lt;=5,1,IF($L35&lt;=10,2,IF($L35&lt;=15,3,IF($L35&lt;=20,4,IF($L35&lt;=25,5,6))))))</f>
        <v/>
      </c>
      <c r="N35" s="4">
        <f>IF($M35="","",$M35)</f>
        <v/>
      </c>
      <c r="O35" s="4">
        <f>IF($M35="","",$M35*2)</f>
        <v/>
      </c>
      <c r="P35" s="4">
        <f>IF($M35="","",$M35*3)</f>
        <v/>
      </c>
      <c r="Q35" s="4">
        <f>IF($M35="","",$M35*4)</f>
        <v/>
      </c>
      <c r="R35" s="4">
        <f>IF($M35="","",$M35*5)</f>
        <v/>
      </c>
      <c r="S35" s="4">
        <f>IF($M35="","",$M35*6)</f>
        <v/>
      </c>
    </row>
    <row r="36">
      <c r="A36" s="4" t="inlineStr">
        <is>
          <t>QUE</t>
        </is>
      </c>
      <c r="B36" s="4" t="inlineStr">
        <is>
          <t>Queens</t>
        </is>
      </c>
      <c r="C36" s="8" t="n">
        <v>15</v>
      </c>
      <c r="D36" s="4" t="inlineStr">
        <is>
          <t>West</t>
        </is>
      </c>
      <c r="E36" s="15" t="n">
        <v>-1.44</v>
      </c>
      <c r="F36" s="16" t="n">
        <v>0.4399</v>
      </c>
      <c r="G36" s="15" t="n">
        <v>-2.1</v>
      </c>
      <c r="H36" s="15" t="n">
        <v>-1.505570166602416</v>
      </c>
      <c r="I36" s="15" t="n">
        <v>-1.768514181474658</v>
      </c>
      <c r="J36" s="15" t="n">
        <v>-1.596378640117027</v>
      </c>
      <c r="K36" s="15" t="n">
        <v>-1.620302690186353</v>
      </c>
      <c r="L36" s="4" t="inlineStr"/>
      <c r="M36" s="4">
        <f>IF($L36="",6,IF($L36&lt;=5,1,IF($L36&lt;=10,2,IF($L36&lt;=15,3,IF($L36&lt;=20,4,IF($L36&lt;=25,5,6))))))</f>
        <v/>
      </c>
      <c r="N36" s="4">
        <f>IF($M36="","",$M36)</f>
        <v/>
      </c>
      <c r="O36" s="4">
        <f>IF($M36="","",$M36*2)</f>
        <v/>
      </c>
      <c r="P36" s="4">
        <f>IF($M36="","",$M36*3)</f>
        <v/>
      </c>
      <c r="Q36" s="4">
        <f>IF($M36="","",$M36*4)</f>
        <v/>
      </c>
      <c r="R36" s="4">
        <f>IF($M36="","",$M36*5)</f>
        <v/>
      </c>
      <c r="S36" s="4">
        <f>IF($M36="","",$M36*6)</f>
        <v/>
      </c>
    </row>
    <row r="37">
      <c r="A37" s="4" t="inlineStr">
        <is>
          <t>UF</t>
        </is>
      </c>
      <c r="B37" s="4" t="inlineStr">
        <is>
          <t>Florida</t>
        </is>
      </c>
      <c r="C37" s="8" t="n">
        <v>1</v>
      </c>
      <c r="D37" s="4" t="inlineStr">
        <is>
          <t>South</t>
        </is>
      </c>
      <c r="E37" s="15" t="n">
        <v>33.79</v>
      </c>
      <c r="F37" s="16" t="n">
        <v>0.9732</v>
      </c>
      <c r="G37" s="15" t="n">
        <v>31.4</v>
      </c>
      <c r="H37" s="15" t="n">
        <v>1.395819160273623</v>
      </c>
      <c r="I37" s="15" t="n">
        <v>0.9275441705025717</v>
      </c>
      <c r="J37" s="15" t="n">
        <v>1.497767996645149</v>
      </c>
      <c r="K37" s="15" t="n">
        <v>1.257410122946637</v>
      </c>
      <c r="L37" s="4" t="n">
        <v>4</v>
      </c>
      <c r="M37" s="4">
        <f>IF($L37="",6,IF($L37&lt;=5,1,IF($L37&lt;=10,2,IF($L37&lt;=15,3,IF($L37&lt;=20,4,IF($L37&lt;=25,5,6))))))</f>
        <v/>
      </c>
      <c r="N37" s="4">
        <f>IF($M37="","",$M37)</f>
        <v/>
      </c>
      <c r="O37" s="4">
        <f>IF($M37="","",$M37*2)</f>
        <v/>
      </c>
      <c r="P37" s="4">
        <f>IF($M37="","",$M37*3)</f>
        <v/>
      </c>
      <c r="Q37" s="4">
        <f>IF($M37="","",$M37*4)</f>
        <v/>
      </c>
      <c r="R37" s="4">
        <f>IF($M37="","",$M37*5)</f>
        <v/>
      </c>
      <c r="S37" s="4">
        <f>IF($M37="","",$M37*6)</f>
        <v/>
      </c>
    </row>
    <row r="38">
      <c r="A38" s="4" t="inlineStr">
        <is>
          <t>HOW</t>
        </is>
      </c>
      <c r="B38" s="4" t="inlineStr">
        <is>
          <t>Howard</t>
        </is>
      </c>
      <c r="C38" s="8" t="n">
        <v>16</v>
      </c>
      <c r="D38" s="4" t="inlineStr">
        <is>
          <t>South</t>
        </is>
      </c>
      <c r="E38" s="15" t="n">
        <v>-3.19</v>
      </c>
      <c r="F38" s="16" t="n">
        <v>0.4251</v>
      </c>
      <c r="G38" s="15" t="n">
        <v>-1.1</v>
      </c>
      <c r="H38" s="15" t="n">
        <v>-1.649692543043888</v>
      </c>
      <c r="I38" s="15" t="n">
        <v>-1.843334477010497</v>
      </c>
      <c r="J38" s="15" t="n">
        <v>-1.504016053945022</v>
      </c>
      <c r="K38" s="15" t="n">
        <v>-1.681048097657485</v>
      </c>
      <c r="L38" s="4" t="inlineStr"/>
      <c r="M38" s="4">
        <f>IF($L38="",6,IF($L38&lt;=5,1,IF($L38&lt;=10,2,IF($L38&lt;=15,3,IF($L38&lt;=20,4,IF($L38&lt;=25,5,6))))))</f>
        <v/>
      </c>
      <c r="N38" s="4">
        <f>IF($M38="","",$M38)</f>
        <v/>
      </c>
      <c r="O38" s="4">
        <f>IF($M38="","",$M38*2)</f>
        <v/>
      </c>
      <c r="P38" s="4">
        <f>IF($M38="","",$M38*3)</f>
        <v/>
      </c>
      <c r="Q38" s="4">
        <f>IF($M38="","",$M38*4)</f>
        <v/>
      </c>
      <c r="R38" s="4">
        <f>IF($M38="","",$M38*5)</f>
        <v/>
      </c>
      <c r="S38" s="4">
        <f>IF($M38="","",$M38*6)</f>
        <v/>
      </c>
    </row>
    <row r="39">
      <c r="A39" s="4" t="inlineStr">
        <is>
          <t>UMBC</t>
        </is>
      </c>
      <c r="B39" s="4" t="inlineStr">
        <is>
          <t>UMBC</t>
        </is>
      </c>
      <c r="C39" s="8" t="n">
        <v>16</v>
      </c>
      <c r="D39" s="4" t="inlineStr">
        <is>
          <t>South</t>
        </is>
      </c>
      <c r="E39" s="15" t="n">
        <v>-1.67</v>
      </c>
      <c r="F39" s="16" t="n">
        <v>0.4563</v>
      </c>
      <c r="G39" s="15" t="n">
        <v>-0.1</v>
      </c>
      <c r="H39" s="15" t="n">
        <v>-1.524511964649009</v>
      </c>
      <c r="I39" s="15" t="n">
        <v>-1.68560520534035</v>
      </c>
      <c r="J39" s="15" t="n">
        <v>-1.411653467773016</v>
      </c>
      <c r="K39" s="15" t="n">
        <v>-1.55267997467198</v>
      </c>
      <c r="L39" s="4" t="inlineStr"/>
      <c r="M39" s="4">
        <f>IF($L39="",6,IF($L39&lt;=5,1,IF($L39&lt;=10,2,IF($L39&lt;=15,3,IF($L39&lt;=20,4,IF($L39&lt;=25,5,6))))))</f>
        <v/>
      </c>
      <c r="N39" s="4">
        <f>IF($M39="","",$M39)</f>
        <v/>
      </c>
      <c r="O39" s="4">
        <f>IF($M39="","",$M39*2)</f>
        <v/>
      </c>
      <c r="P39" s="4">
        <f>IF($M39="","",$M39*3)</f>
        <v/>
      </c>
      <c r="Q39" s="4">
        <f>IF($M39="","",$M39*4)</f>
        <v/>
      </c>
      <c r="R39" s="4">
        <f>IF($M39="","",$M39*5)</f>
        <v/>
      </c>
      <c r="S39" s="4">
        <f>IF($M39="","",$M39*6)</f>
        <v/>
      </c>
    </row>
    <row r="40">
      <c r="A40" s="4" t="inlineStr">
        <is>
          <t>CLEM</t>
        </is>
      </c>
      <c r="B40" s="4" t="inlineStr">
        <is>
          <t>Clemson</t>
        </is>
      </c>
      <c r="C40" s="8" t="n">
        <v>8</v>
      </c>
      <c r="D40" s="4" t="inlineStr">
        <is>
          <t>South</t>
        </is>
      </c>
      <c r="E40" s="15" t="n">
        <v>19.24</v>
      </c>
      <c r="F40" s="16" t="n">
        <v>0.8921</v>
      </c>
      <c r="G40" s="15" t="n">
        <v>16.6</v>
      </c>
      <c r="H40" s="15" t="n">
        <v>0.1975445447173824</v>
      </c>
      <c r="I40" s="15" t="n">
        <v>0.5175491726676698</v>
      </c>
      <c r="J40" s="15" t="n">
        <v>0.1308017212994717</v>
      </c>
      <c r="K40" s="15" t="n">
        <v>0.2928604586455053</v>
      </c>
      <c r="L40" s="4" t="inlineStr"/>
      <c r="M40" s="4">
        <f>IF($L40="",6,IF($L40&lt;=5,1,IF($L40&lt;=10,2,IF($L40&lt;=15,3,IF($L40&lt;=20,4,IF($L40&lt;=25,5,6))))))</f>
        <v/>
      </c>
      <c r="N40" s="4">
        <f>IF($M40="","",$M40)</f>
        <v/>
      </c>
      <c r="O40" s="4">
        <f>IF($M40="","",$M40*2)</f>
        <v/>
      </c>
      <c r="P40" s="4">
        <f>IF($M40="","",$M40*3)</f>
        <v/>
      </c>
      <c r="Q40" s="4">
        <f>IF($M40="","",$M40*4)</f>
        <v/>
      </c>
      <c r="R40" s="4">
        <f>IF($M40="","",$M40*5)</f>
        <v/>
      </c>
      <c r="S40" s="4">
        <f>IF($M40="","",$M40*6)</f>
        <v/>
      </c>
    </row>
    <row r="41">
      <c r="A41" s="4" t="inlineStr">
        <is>
          <t>IOWA</t>
        </is>
      </c>
      <c r="B41" s="4" t="inlineStr">
        <is>
          <t>Iowa</t>
        </is>
      </c>
      <c r="C41" s="8" t="n">
        <v>9</v>
      </c>
      <c r="D41" s="4" t="inlineStr">
        <is>
          <t>South</t>
        </is>
      </c>
      <c r="E41" s="15" t="n">
        <v>22.44</v>
      </c>
      <c r="F41" s="16" t="n">
        <v>0.9068000000000001</v>
      </c>
      <c r="G41" s="15" t="n">
        <v>20.1</v>
      </c>
      <c r="H41" s="15" t="n">
        <v>0.4610826044960748</v>
      </c>
      <c r="I41" s="15" t="n">
        <v>0.5918639256661048</v>
      </c>
      <c r="J41" s="15" t="n">
        <v>0.4540707729014901</v>
      </c>
      <c r="K41" s="15" t="n">
        <v>0.5051031090069391</v>
      </c>
      <c r="L41" s="4" t="inlineStr"/>
      <c r="M41" s="4">
        <f>IF($L41="",6,IF($L41&lt;=5,1,IF($L41&lt;=10,2,IF($L41&lt;=15,3,IF($L41&lt;=20,4,IF($L41&lt;=25,5,6))))))</f>
        <v/>
      </c>
      <c r="N41" s="4">
        <f>IF($M41="","",$M41)</f>
        <v/>
      </c>
      <c r="O41" s="4">
        <f>IF($M41="","",$M41*2)</f>
        <v/>
      </c>
      <c r="P41" s="4">
        <f>IF($M41="","",$M41*3)</f>
        <v/>
      </c>
      <c r="Q41" s="4">
        <f>IF($M41="","",$M41*4)</f>
        <v/>
      </c>
      <c r="R41" s="4">
        <f>IF($M41="","",$M41*5)</f>
        <v/>
      </c>
      <c r="S41" s="4">
        <f>IF($M41="","",$M41*6)</f>
        <v/>
      </c>
    </row>
    <row r="42">
      <c r="A42" s="4" t="inlineStr">
        <is>
          <t>VAND</t>
        </is>
      </c>
      <c r="B42" s="4" t="inlineStr">
        <is>
          <t>Vanderbilt</t>
        </is>
      </c>
      <c r="C42" s="8" t="n">
        <v>5</v>
      </c>
      <c r="D42" s="4" t="inlineStr">
        <is>
          <t>South</t>
        </is>
      </c>
      <c r="E42" s="15" t="n">
        <v>27.51</v>
      </c>
      <c r="F42" s="16" t="n">
        <v>0.9461000000000001</v>
      </c>
      <c r="G42" s="15" t="n">
        <v>24</v>
      </c>
      <c r="H42" s="15" t="n">
        <v>0.8786257179579403</v>
      </c>
      <c r="I42" s="15" t="n">
        <v>0.7905421428660019</v>
      </c>
      <c r="J42" s="15" t="n">
        <v>0.8142848589723105</v>
      </c>
      <c r="K42" s="15" t="n">
        <v>0.8317112519293545</v>
      </c>
      <c r="L42" s="4" t="n">
        <v>22</v>
      </c>
      <c r="M42" s="4">
        <f>IF($L42="",6,IF($L42&lt;=5,1,IF($L42&lt;=10,2,IF($L42&lt;=15,3,IF($L42&lt;=20,4,IF($L42&lt;=25,5,6))))))</f>
        <v/>
      </c>
      <c r="N42" s="4">
        <f>IF($M42="","",$M42)</f>
        <v/>
      </c>
      <c r="O42" s="4">
        <f>IF($M42="","",$M42*2)</f>
        <v/>
      </c>
      <c r="P42" s="4">
        <f>IF($M42="","",$M42*3)</f>
        <v/>
      </c>
      <c r="Q42" s="4">
        <f>IF($M42="","",$M42*4)</f>
        <v/>
      </c>
      <c r="R42" s="4">
        <f>IF($M42="","",$M42*5)</f>
        <v/>
      </c>
      <c r="S42" s="4">
        <f>IF($M42="","",$M42*6)</f>
        <v/>
      </c>
    </row>
    <row r="43">
      <c r="A43" s="4" t="inlineStr">
        <is>
          <t>MCN</t>
        </is>
      </c>
      <c r="B43" s="4" t="inlineStr">
        <is>
          <t>McNeese</t>
        </is>
      </c>
      <c r="C43" s="8" t="n">
        <v>12</v>
      </c>
      <c r="D43" s="4" t="inlineStr">
        <is>
          <t>South</t>
        </is>
      </c>
      <c r="E43" s="15" t="n">
        <v>12.48</v>
      </c>
      <c r="F43" s="16" t="n">
        <v>0.7648</v>
      </c>
      <c r="G43" s="15" t="n">
        <v>10.7</v>
      </c>
      <c r="H43" s="15" t="n">
        <v>-0.3591796065651047</v>
      </c>
      <c r="I43" s="15" t="n">
        <v>-0.1260064774480273</v>
      </c>
      <c r="J43" s="15" t="n">
        <v>-0.4141375371153596</v>
      </c>
      <c r="K43" s="15" t="n">
        <v>-0.2913084940116913</v>
      </c>
      <c r="L43" s="4" t="inlineStr"/>
      <c r="M43" s="4">
        <f>IF($L43="",6,IF($L43&lt;=5,1,IF($L43&lt;=10,2,IF($L43&lt;=15,3,IF($L43&lt;=20,4,IF($L43&lt;=25,5,6))))))</f>
        <v/>
      </c>
      <c r="N43" s="4">
        <f>IF($M43="","",$M43)</f>
        <v/>
      </c>
      <c r="O43" s="4">
        <f>IF($M43="","",$M43*2)</f>
        <v/>
      </c>
      <c r="P43" s="4">
        <f>IF($M43="","",$M43*3)</f>
        <v/>
      </c>
      <c r="Q43" s="4">
        <f>IF($M43="","",$M43*4)</f>
        <v/>
      </c>
      <c r="R43" s="4">
        <f>IF($M43="","",$M43*5)</f>
        <v/>
      </c>
      <c r="S43" s="4">
        <f>IF($M43="","",$M43*6)</f>
        <v/>
      </c>
    </row>
    <row r="44">
      <c r="A44" s="4" t="inlineStr">
        <is>
          <t>NEB</t>
        </is>
      </c>
      <c r="B44" s="4" t="inlineStr">
        <is>
          <t>Nebraska</t>
        </is>
      </c>
      <c r="C44" s="8" t="n">
        <v>4</v>
      </c>
      <c r="D44" s="4" t="inlineStr">
        <is>
          <t>South</t>
        </is>
      </c>
      <c r="E44" s="15" t="n">
        <v>26.16</v>
      </c>
      <c r="F44" s="16" t="n">
        <v>0.9308</v>
      </c>
      <c r="G44" s="15" t="n">
        <v>22.3</v>
      </c>
      <c r="H44" s="15" t="n">
        <v>0.7674455989888044</v>
      </c>
      <c r="I44" s="15" t="n">
        <v>0.7131941346431407</v>
      </c>
      <c r="J44" s="15" t="n">
        <v>0.6572684624799016</v>
      </c>
      <c r="K44" s="15" t="n">
        <v>0.7209133023405965</v>
      </c>
      <c r="L44" s="4" t="n">
        <v>11</v>
      </c>
      <c r="M44" s="4">
        <f>IF($L44="",6,IF($L44&lt;=5,1,IF($L44&lt;=10,2,IF($L44&lt;=15,3,IF($L44&lt;=20,4,IF($L44&lt;=25,5,6))))))</f>
        <v/>
      </c>
      <c r="N44" s="4">
        <f>IF($M44="","",$M44)</f>
        <v/>
      </c>
      <c r="O44" s="4">
        <f>IF($M44="","",$M44*2)</f>
        <v/>
      </c>
      <c r="P44" s="4">
        <f>IF($M44="","",$M44*3)</f>
        <v/>
      </c>
      <c r="Q44" s="4">
        <f>IF($M44="","",$M44*4)</f>
        <v/>
      </c>
      <c r="R44" s="4">
        <f>IF($M44="","",$M44*5)</f>
        <v/>
      </c>
      <c r="S44" s="4">
        <f>IF($M44="","",$M44*6)</f>
        <v/>
      </c>
    </row>
    <row r="45">
      <c r="A45" s="4" t="inlineStr">
        <is>
          <t>TROY</t>
        </is>
      </c>
      <c r="B45" s="4" t="inlineStr">
        <is>
          <t>Troy</t>
        </is>
      </c>
      <c r="C45" s="8" t="n">
        <v>13</v>
      </c>
      <c r="D45" s="4" t="inlineStr">
        <is>
          <t>South</t>
        </is>
      </c>
      <c r="E45" s="15" t="n">
        <v>1.72</v>
      </c>
      <c r="F45" s="16" t="n">
        <v>0.5435</v>
      </c>
      <c r="G45" s="15" t="n">
        <v>4.5</v>
      </c>
      <c r="H45" s="15" t="n">
        <v>-1.245326332570957</v>
      </c>
      <c r="I45" s="15" t="n">
        <v>-1.244772112723784</v>
      </c>
      <c r="J45" s="15" t="n">
        <v>-0.9867855713817921</v>
      </c>
      <c r="K45" s="15" t="n">
        <v>-1.180497165327155</v>
      </c>
      <c r="L45" s="4" t="inlineStr"/>
      <c r="M45" s="4">
        <f>IF($L45="",6,IF($L45&lt;=5,1,IF($L45&lt;=10,2,IF($L45&lt;=15,3,IF($L45&lt;=20,4,IF($L45&lt;=25,5,6))))))</f>
        <v/>
      </c>
      <c r="N45" s="4">
        <f>IF($M45="","",$M45)</f>
        <v/>
      </c>
      <c r="O45" s="4">
        <f>IF($M45="","",$M45*2)</f>
        <v/>
      </c>
      <c r="P45" s="4">
        <f>IF($M45="","",$M45*3)</f>
        <v/>
      </c>
      <c r="Q45" s="4">
        <f>IF($M45="","",$M45*4)</f>
        <v/>
      </c>
      <c r="R45" s="4">
        <f>IF($M45="","",$M45*5)</f>
        <v/>
      </c>
      <c r="S45" s="4">
        <f>IF($M45="","",$M45*6)</f>
        <v/>
      </c>
    </row>
    <row r="46">
      <c r="A46" s="4" t="inlineStr">
        <is>
          <t>UNC</t>
        </is>
      </c>
      <c r="B46" s="4" t="inlineStr">
        <is>
          <t>North Carolina</t>
        </is>
      </c>
      <c r="C46" s="8" t="n">
        <v>6</v>
      </c>
      <c r="D46" s="4" t="inlineStr">
        <is>
          <t>South</t>
        </is>
      </c>
      <c r="E46" s="15" t="n">
        <v>20.84</v>
      </c>
      <c r="F46" s="16" t="n">
        <v>0.903</v>
      </c>
      <c r="G46" s="15" t="n">
        <v>14.7</v>
      </c>
      <c r="H46" s="15" t="n">
        <v>0.3293135746067286</v>
      </c>
      <c r="I46" s="15" t="n">
        <v>0.5726533092447406</v>
      </c>
      <c r="J46" s="15" t="n">
        <v>-0.04468719242733854</v>
      </c>
      <c r="K46" s="15" t="n">
        <v>0.320982289971516</v>
      </c>
      <c r="L46" s="4" t="n">
        <v>19</v>
      </c>
      <c r="M46" s="4">
        <f>IF($L46="",6,IF($L46&lt;=5,1,IF($L46&lt;=10,2,IF($L46&lt;=15,3,IF($L46&lt;=20,4,IF($L46&lt;=25,5,6))))))</f>
        <v/>
      </c>
      <c r="N46" s="4">
        <f>IF($M46="","",$M46)</f>
        <v/>
      </c>
      <c r="O46" s="4">
        <f>IF($M46="","",$M46*2)</f>
        <v/>
      </c>
      <c r="P46" s="4">
        <f>IF($M46="","",$M46*3)</f>
        <v/>
      </c>
      <c r="Q46" s="4">
        <f>IF($M46="","",$M46*4)</f>
        <v/>
      </c>
      <c r="R46" s="4">
        <f>IF($M46="","",$M46*5)</f>
        <v/>
      </c>
      <c r="S46" s="4">
        <f>IF($M46="","",$M46*6)</f>
        <v/>
      </c>
    </row>
    <row r="47">
      <c r="A47" s="4" t="inlineStr">
        <is>
          <t>VCU</t>
        </is>
      </c>
      <c r="B47" s="4" t="inlineStr">
        <is>
          <t>VCU</t>
        </is>
      </c>
      <c r="C47" s="8" t="n">
        <v>11</v>
      </c>
      <c r="D47" s="4" t="inlineStr">
        <is>
          <t>South</t>
        </is>
      </c>
      <c r="E47" s="15" t="n">
        <v>17.21</v>
      </c>
      <c r="F47" s="16" t="n">
        <v>0.8433</v>
      </c>
      <c r="G47" s="15" t="n">
        <v>16.1</v>
      </c>
      <c r="H47" s="15" t="n">
        <v>0.03036258804527476</v>
      </c>
      <c r="I47" s="15" t="n">
        <v>0.2708444144143626</v>
      </c>
      <c r="J47" s="15" t="n">
        <v>0.08462042821346902</v>
      </c>
      <c r="K47" s="15" t="n">
        <v>0.1280956873165041</v>
      </c>
      <c r="L47" s="4" t="inlineStr"/>
      <c r="M47" s="4">
        <f>IF($L47="",6,IF($L47&lt;=5,1,IF($L47&lt;=10,2,IF($L47&lt;=15,3,IF($L47&lt;=20,4,IF($L47&lt;=25,5,6))))))</f>
        <v/>
      </c>
      <c r="N47" s="4">
        <f>IF($M47="","",$M47)</f>
        <v/>
      </c>
      <c r="O47" s="4">
        <f>IF($M47="","",$M47*2)</f>
        <v/>
      </c>
      <c r="P47" s="4">
        <f>IF($M47="","",$M47*3)</f>
        <v/>
      </c>
      <c r="Q47" s="4">
        <f>IF($M47="","",$M47*4)</f>
        <v/>
      </c>
      <c r="R47" s="4">
        <f>IF($M47="","",$M47*5)</f>
        <v/>
      </c>
      <c r="S47" s="4">
        <f>IF($M47="","",$M47*6)</f>
        <v/>
      </c>
    </row>
    <row r="48">
      <c r="A48" s="4" t="inlineStr">
        <is>
          <t>ILL</t>
        </is>
      </c>
      <c r="B48" s="4" t="inlineStr">
        <is>
          <t>Illinois</t>
        </is>
      </c>
      <c r="C48" s="8" t="n">
        <v>3</v>
      </c>
      <c r="D48" s="4" t="inlineStr">
        <is>
          <t>South</t>
        </is>
      </c>
      <c r="E48" s="15" t="n">
        <v>32.1</v>
      </c>
      <c r="F48" s="16" t="n">
        <v>0.9676</v>
      </c>
      <c r="G48" s="15" t="n">
        <v>28.9</v>
      </c>
      <c r="H48" s="15" t="n">
        <v>1.256638122453002</v>
      </c>
      <c r="I48" s="15" t="n">
        <v>0.8992337884079301</v>
      </c>
      <c r="J48" s="15" t="n">
        <v>1.266861531215136</v>
      </c>
      <c r="K48" s="15" t="n">
        <v>1.13410245772776</v>
      </c>
      <c r="L48" s="4" t="n">
        <v>9</v>
      </c>
      <c r="M48" s="4">
        <f>IF($L48="",6,IF($L48&lt;=5,1,IF($L48&lt;=10,2,IF($L48&lt;=15,3,IF($L48&lt;=20,4,IF($L48&lt;=25,5,6))))))</f>
        <v/>
      </c>
      <c r="N48" s="4">
        <f>IF($M48="","",$M48)</f>
        <v/>
      </c>
      <c r="O48" s="4">
        <f>IF($M48="","",$M48*2)</f>
        <v/>
      </c>
      <c r="P48" s="4">
        <f>IF($M48="","",$M48*3)</f>
        <v/>
      </c>
      <c r="Q48" s="4">
        <f>IF($M48="","",$M48*4)</f>
        <v/>
      </c>
      <c r="R48" s="4">
        <f>IF($M48="","",$M48*5)</f>
        <v/>
      </c>
      <c r="S48" s="4">
        <f>IF($M48="","",$M48*6)</f>
        <v/>
      </c>
    </row>
    <row r="49">
      <c r="A49" s="4" t="inlineStr">
        <is>
          <t>PENN</t>
        </is>
      </c>
      <c r="B49" s="4" t="inlineStr">
        <is>
          <t>Penn</t>
        </is>
      </c>
      <c r="C49" s="8" t="n">
        <v>14</v>
      </c>
      <c r="D49" s="4" t="inlineStr">
        <is>
          <t>South</t>
        </is>
      </c>
      <c r="E49" s="15" t="n">
        <v>1.47</v>
      </c>
      <c r="F49" s="16" t="n">
        <v>0.5316</v>
      </c>
      <c r="G49" s="15" t="n">
        <v>0.9</v>
      </c>
      <c r="H49" s="15" t="n">
        <v>-1.265915243491167</v>
      </c>
      <c r="I49" s="15" t="n">
        <v>-1.304931674674898</v>
      </c>
      <c r="J49" s="15" t="n">
        <v>-1.319290881601011</v>
      </c>
      <c r="K49" s="15" t="n">
        <v>-1.292914903932934</v>
      </c>
      <c r="L49" s="4" t="inlineStr"/>
      <c r="M49" s="4">
        <f>IF($L49="",6,IF($L49&lt;=5,1,IF($L49&lt;=10,2,IF($L49&lt;=15,3,IF($L49&lt;=20,4,IF($L49&lt;=25,5,6))))))</f>
        <v/>
      </c>
      <c r="N49" s="4">
        <f>IF($M49="","",$M49)</f>
        <v/>
      </c>
      <c r="O49" s="4">
        <f>IF($M49="","",$M49*2)</f>
        <v/>
      </c>
      <c r="P49" s="4">
        <f>IF($M49="","",$M49*3)</f>
        <v/>
      </c>
      <c r="Q49" s="4">
        <f>IF($M49="","",$M49*4)</f>
        <v/>
      </c>
      <c r="R49" s="4">
        <f>IF($M49="","",$M49*5)</f>
        <v/>
      </c>
      <c r="S49" s="4">
        <f>IF($M49="","",$M49*6)</f>
        <v/>
      </c>
    </row>
    <row r="50">
      <c r="A50" s="4" t="inlineStr">
        <is>
          <t>SMC</t>
        </is>
      </c>
      <c r="B50" s="4" t="inlineStr">
        <is>
          <t>Saint Mary's</t>
        </is>
      </c>
      <c r="C50" s="8" t="n">
        <v>7</v>
      </c>
      <c r="D50" s="4" t="inlineStr">
        <is>
          <t>South</t>
        </is>
      </c>
      <c r="E50" s="15" t="n">
        <v>23.07</v>
      </c>
      <c r="F50" s="16" t="n">
        <v>0.9106</v>
      </c>
      <c r="G50" s="15" t="n">
        <v>20.4</v>
      </c>
      <c r="H50" s="15" t="n">
        <v>0.5129666600150048</v>
      </c>
      <c r="I50" s="15" t="n">
        <v>0.6110745420874685</v>
      </c>
      <c r="J50" s="15" t="n">
        <v>0.4817795487530914</v>
      </c>
      <c r="K50" s="15" t="n">
        <v>0.5395076409248887</v>
      </c>
      <c r="L50" s="4" t="n">
        <v>21</v>
      </c>
      <c r="M50" s="4">
        <f>IF($L50="",6,IF($L50&lt;=5,1,IF($L50&lt;=10,2,IF($L50&lt;=15,3,IF($L50&lt;=20,4,IF($L50&lt;=25,5,6))))))</f>
        <v/>
      </c>
      <c r="N50" s="4">
        <f>IF($M50="","",$M50)</f>
        <v/>
      </c>
      <c r="O50" s="4">
        <f>IF($M50="","",$M50*2)</f>
        <v/>
      </c>
      <c r="P50" s="4">
        <f>IF($M50="","",$M50*3)</f>
        <v/>
      </c>
      <c r="Q50" s="4">
        <f>IF($M50="","",$M50*4)</f>
        <v/>
      </c>
      <c r="R50" s="4">
        <f>IF($M50="","",$M50*5)</f>
        <v/>
      </c>
      <c r="S50" s="4">
        <f>IF($M50="","",$M50*6)</f>
        <v/>
      </c>
    </row>
    <row r="51">
      <c r="A51" s="4" t="inlineStr">
        <is>
          <t>TAMU</t>
        </is>
      </c>
      <c r="B51" s="4" t="inlineStr">
        <is>
          <t>Texas A&amp;M</t>
        </is>
      </c>
      <c r="C51" s="8" t="n">
        <v>10</v>
      </c>
      <c r="D51" s="4" t="inlineStr">
        <is>
          <t>South</t>
        </is>
      </c>
      <c r="E51" s="15" t="n">
        <v>18.67</v>
      </c>
      <c r="F51" s="16" t="n">
        <v>0.8721</v>
      </c>
      <c r="G51" s="15" t="n">
        <v>16.4</v>
      </c>
      <c r="H51" s="15" t="n">
        <v>0.1506018278193031</v>
      </c>
      <c r="I51" s="15" t="n">
        <v>0.416440665186806</v>
      </c>
      <c r="J51" s="15" t="n">
        <v>0.1123292040650703</v>
      </c>
      <c r="K51" s="15" t="n">
        <v>0.2340772649593709</v>
      </c>
      <c r="L51" s="4" t="inlineStr"/>
      <c r="M51" s="4">
        <f>IF($L51="",6,IF($L51&lt;=5,1,IF($L51&lt;=10,2,IF($L51&lt;=15,3,IF($L51&lt;=20,4,IF($L51&lt;=25,5,6))))))</f>
        <v/>
      </c>
      <c r="N51" s="4">
        <f>IF($M51="","",$M51)</f>
        <v/>
      </c>
      <c r="O51" s="4">
        <f>IF($M51="","",$M51*2)</f>
        <v/>
      </c>
      <c r="P51" s="4">
        <f>IF($M51="","",$M51*3)</f>
        <v/>
      </c>
      <c r="Q51" s="4">
        <f>IF($M51="","",$M51*4)</f>
        <v/>
      </c>
      <c r="R51" s="4">
        <f>IF($M51="","",$M51*5)</f>
        <v/>
      </c>
      <c r="S51" s="4">
        <f>IF($M51="","",$M51*6)</f>
        <v/>
      </c>
    </row>
    <row r="52">
      <c r="A52" s="4" t="inlineStr">
        <is>
          <t>HOU</t>
        </is>
      </c>
      <c r="B52" s="4" t="inlineStr">
        <is>
          <t>Houston</t>
        </is>
      </c>
      <c r="C52" s="8" t="n">
        <v>2</v>
      </c>
      <c r="D52" s="4" t="inlineStr">
        <is>
          <t>South</t>
        </is>
      </c>
      <c r="E52" s="15" t="n">
        <v>33.43</v>
      </c>
      <c r="F52" s="16" t="n">
        <v>0.9709</v>
      </c>
      <c r="G52" s="15" t="n">
        <v>31</v>
      </c>
      <c r="H52" s="15" t="n">
        <v>1.366171128548521</v>
      </c>
      <c r="I52" s="15" t="n">
        <v>0.9159166921422724</v>
      </c>
      <c r="J52" s="15" t="n">
        <v>1.460822962176347</v>
      </c>
      <c r="K52" s="15" t="n">
        <v>1.232245034213291</v>
      </c>
      <c r="L52" s="4" t="n">
        <v>5</v>
      </c>
      <c r="M52" s="4">
        <f>IF($L52="",6,IF($L52&lt;=5,1,IF($L52&lt;=10,2,IF($L52&lt;=15,3,IF($L52&lt;=20,4,IF($L52&lt;=25,5,6))))))</f>
        <v/>
      </c>
      <c r="N52" s="4">
        <f>IF($M52="","",$M52)</f>
        <v/>
      </c>
      <c r="O52" s="4">
        <f>IF($M52="","",$M52*2)</f>
        <v/>
      </c>
      <c r="P52" s="4">
        <f>IF($M52="","",$M52*3)</f>
        <v/>
      </c>
      <c r="Q52" s="4">
        <f>IF($M52="","",$M52*4)</f>
        <v/>
      </c>
      <c r="R52" s="4">
        <f>IF($M52="","",$M52*5)</f>
        <v/>
      </c>
      <c r="S52" s="4">
        <f>IF($M52="","",$M52*6)</f>
        <v/>
      </c>
    </row>
    <row r="53">
      <c r="A53" s="4" t="inlineStr">
        <is>
          <t>IDHO</t>
        </is>
      </c>
      <c r="B53" s="4" t="inlineStr">
        <is>
          <t>Idaho</t>
        </is>
      </c>
      <c r="C53" s="8" t="n">
        <v>15</v>
      </c>
      <c r="D53" s="4" t="inlineStr">
        <is>
          <t>South</t>
        </is>
      </c>
      <c r="E53" s="15" t="n">
        <v>1.53</v>
      </c>
      <c r="F53" s="16" t="n">
        <v>0.5705</v>
      </c>
      <c r="G53" s="15" t="n">
        <v>0.1</v>
      </c>
      <c r="H53" s="15" t="n">
        <v>-1.260973904870317</v>
      </c>
      <c r="I53" s="15" t="n">
        <v>-1.108275627624618</v>
      </c>
      <c r="J53" s="15" t="n">
        <v>-1.393180950538615</v>
      </c>
      <c r="K53" s="15" t="n">
        <v>-1.240581269251397</v>
      </c>
      <c r="L53" s="4" t="inlineStr"/>
      <c r="M53" s="4">
        <f>IF($L53="",6,IF($L53&lt;=5,1,IF($L53&lt;=10,2,IF($L53&lt;=15,3,IF($L53&lt;=20,4,IF($L53&lt;=25,5,6))))))</f>
        <v/>
      </c>
      <c r="N53" s="4">
        <f>IF($M53="","",$M53)</f>
        <v/>
      </c>
      <c r="O53" s="4">
        <f>IF($M53="","",$M53*2)</f>
        <v/>
      </c>
      <c r="P53" s="4">
        <f>IF($M53="","",$M53*3)</f>
        <v/>
      </c>
      <c r="Q53" s="4">
        <f>IF($M53="","",$M53*4)</f>
        <v/>
      </c>
      <c r="R53" s="4">
        <f>IF($M53="","",$M53*5)</f>
        <v/>
      </c>
      <c r="S53" s="4">
        <f>IF($M53="","",$M53*6)</f>
        <v/>
      </c>
    </row>
    <row r="54">
      <c r="A54" s="4" t="inlineStr">
        <is>
          <t>MICH</t>
        </is>
      </c>
      <c r="B54" s="4" t="inlineStr">
        <is>
          <t>Michigan</t>
        </is>
      </c>
      <c r="C54" s="8" t="n">
        <v>1</v>
      </c>
      <c r="D54" s="4" t="inlineStr">
        <is>
          <t>Midwest</t>
        </is>
      </c>
      <c r="E54" s="15" t="n">
        <v>37.59</v>
      </c>
      <c r="F54" s="16" t="n">
        <v>0.9799</v>
      </c>
      <c r="G54" s="15" t="n">
        <v>34.5</v>
      </c>
      <c r="H54" s="15" t="n">
        <v>1.708770606260821</v>
      </c>
      <c r="I54" s="15" t="n">
        <v>0.9614155205086612</v>
      </c>
      <c r="J54" s="15" t="n">
        <v>1.784092013778366</v>
      </c>
      <c r="K54" s="15" t="n">
        <v>1.466026678126951</v>
      </c>
      <c r="L54" s="4" t="n">
        <v>3</v>
      </c>
      <c r="M54" s="4">
        <f>IF($L54="",6,IF($L54&lt;=5,1,IF($L54&lt;=10,2,IF($L54&lt;=15,3,IF($L54&lt;=20,4,IF($L54&lt;=25,5,6))))))</f>
        <v/>
      </c>
      <c r="N54" s="4">
        <f>IF($M54="","",$M54)</f>
        <v/>
      </c>
      <c r="O54" s="4">
        <f>IF($M54="","",$M54*2)</f>
        <v/>
      </c>
      <c r="P54" s="4">
        <f>IF($M54="","",$M54*3)</f>
        <v/>
      </c>
      <c r="Q54" s="4">
        <f>IF($M54="","",$M54*4)</f>
        <v/>
      </c>
      <c r="R54" s="4">
        <f>IF($M54="","",$M54*5)</f>
        <v/>
      </c>
      <c r="S54" s="4">
        <f>IF($M54="","",$M54*6)</f>
        <v/>
      </c>
    </row>
    <row r="55">
      <c r="A55" s="4" t="inlineStr">
        <is>
          <t>LEH</t>
        </is>
      </c>
      <c r="B55" s="4" t="inlineStr">
        <is>
          <t>Lehigh</t>
        </is>
      </c>
      <c r="C55" s="8" t="n">
        <v>16</v>
      </c>
      <c r="D55" s="4" t="inlineStr">
        <is>
          <t>Midwest</t>
        </is>
      </c>
      <c r="E55" s="15" t="n">
        <v>-10.37</v>
      </c>
      <c r="F55" s="16" t="n">
        <v>0.2517</v>
      </c>
      <c r="G55" s="15" t="n">
        <v>-8.5</v>
      </c>
      <c r="H55" s="15" t="n">
        <v>-2.241006064672328</v>
      </c>
      <c r="I55" s="15" t="n">
        <v>-2.719945236869585</v>
      </c>
      <c r="J55" s="15" t="n">
        <v>-2.187499191617861</v>
      </c>
      <c r="K55" s="15" t="n">
        <v>-2.395258056677751</v>
      </c>
      <c r="L55" s="4" t="inlineStr"/>
      <c r="M55" s="4">
        <f>IF($L55="",6,IF($L55&lt;=5,1,IF($L55&lt;=10,2,IF($L55&lt;=15,3,IF($L55&lt;=20,4,IF($L55&lt;=25,5,6))))))</f>
        <v/>
      </c>
      <c r="N55" s="4">
        <f>IF($M55="","",$M55)</f>
        <v/>
      </c>
      <c r="O55" s="4">
        <f>IF($M55="","",$M55*2)</f>
        <v/>
      </c>
      <c r="P55" s="4">
        <f>IF($M55="","",$M55*3)</f>
        <v/>
      </c>
      <c r="Q55" s="4">
        <f>IF($M55="","",$M55*4)</f>
        <v/>
      </c>
      <c r="R55" s="4">
        <f>IF($M55="","",$M55*5)</f>
        <v/>
      </c>
      <c r="S55" s="4">
        <f>IF($M55="","",$M55*6)</f>
        <v/>
      </c>
    </row>
    <row r="56">
      <c r="A56" s="4" t="inlineStr">
        <is>
          <t>PVAM</t>
        </is>
      </c>
      <c r="B56" s="4" t="inlineStr">
        <is>
          <t>Prairie View A&amp;M</t>
        </is>
      </c>
      <c r="C56" s="8" t="n">
        <v>16</v>
      </c>
      <c r="D56" s="4" t="inlineStr">
        <is>
          <t>Midwest</t>
        </is>
      </c>
      <c r="E56" s="15" t="n">
        <v>-10.69</v>
      </c>
      <c r="F56" s="16" t="n">
        <v>0.2551</v>
      </c>
      <c r="G56" s="15" t="n">
        <v>-9.800000000000001</v>
      </c>
      <c r="H56" s="15" t="n">
        <v>-2.267359870650198</v>
      </c>
      <c r="I56" s="15" t="n">
        <v>-2.702756790597838</v>
      </c>
      <c r="J56" s="15" t="n">
        <v>-2.307570553641467</v>
      </c>
      <c r="K56" s="15" t="n">
        <v>-2.429801463379689</v>
      </c>
      <c r="L56" s="4" t="inlineStr"/>
      <c r="M56" s="4">
        <f>IF($L56="",6,IF($L56&lt;=5,1,IF($L56&lt;=10,2,IF($L56&lt;=15,3,IF($L56&lt;=20,4,IF($L56&lt;=25,5,6))))))</f>
        <v/>
      </c>
      <c r="N56" s="4">
        <f>IF($M56="","",$M56)</f>
        <v/>
      </c>
      <c r="O56" s="4">
        <f>IF($M56="","",$M56*2)</f>
        <v/>
      </c>
      <c r="P56" s="4">
        <f>IF($M56="","",$M56*3)</f>
        <v/>
      </c>
      <c r="Q56" s="4">
        <f>IF($M56="","",$M56*4)</f>
        <v/>
      </c>
      <c r="R56" s="4">
        <f>IF($M56="","",$M56*5)</f>
        <v/>
      </c>
      <c r="S56" s="4">
        <f>IF($M56="","",$M56*6)</f>
        <v/>
      </c>
    </row>
    <row r="57">
      <c r="A57" s="4" t="inlineStr">
        <is>
          <t>UGA</t>
        </is>
      </c>
      <c r="B57" s="4" t="inlineStr">
        <is>
          <t>Georgia</t>
        </is>
      </c>
      <c r="C57" s="8" t="n">
        <v>8</v>
      </c>
      <c r="D57" s="4" t="inlineStr">
        <is>
          <t>Midwest</t>
        </is>
      </c>
      <c r="E57" s="15" t="n">
        <v>20.48</v>
      </c>
      <c r="F57" s="16" t="n">
        <v>0.8777</v>
      </c>
      <c r="G57" s="15" t="n">
        <v>18.2</v>
      </c>
      <c r="H57" s="15" t="n">
        <v>0.2996655428816258</v>
      </c>
      <c r="I57" s="15" t="n">
        <v>0.444751047281448</v>
      </c>
      <c r="J57" s="15" t="n">
        <v>0.2785818591746799</v>
      </c>
      <c r="K57" s="15" t="n">
        <v>0.3451745484948271</v>
      </c>
      <c r="L57" s="4" t="inlineStr"/>
      <c r="M57" s="4">
        <f>IF($L57="",6,IF($L57&lt;=5,1,IF($L57&lt;=10,2,IF($L57&lt;=15,3,IF($L57&lt;=20,4,IF($L57&lt;=25,5,6))))))</f>
        <v/>
      </c>
      <c r="N57" s="4">
        <f>IF($M57="","",$M57)</f>
        <v/>
      </c>
      <c r="O57" s="4">
        <f>IF($M57="","",$M57*2)</f>
        <v/>
      </c>
      <c r="P57" s="4">
        <f>IF($M57="","",$M57*3)</f>
        <v/>
      </c>
      <c r="Q57" s="4">
        <f>IF($M57="","",$M57*4)</f>
        <v/>
      </c>
      <c r="R57" s="4">
        <f>IF($M57="","",$M57*5)</f>
        <v/>
      </c>
      <c r="S57" s="4">
        <f>IF($M57="","",$M57*6)</f>
        <v/>
      </c>
    </row>
    <row r="58">
      <c r="A58" s="4" t="inlineStr">
        <is>
          <t>SLU</t>
        </is>
      </c>
      <c r="B58" s="4" t="inlineStr">
        <is>
          <t>Saint Louis</t>
        </is>
      </c>
      <c r="C58" s="8" t="n">
        <v>9</v>
      </c>
      <c r="D58" s="4" t="inlineStr">
        <is>
          <t>Midwest</t>
        </is>
      </c>
      <c r="E58" s="15" t="n">
        <v>18.32</v>
      </c>
      <c r="F58" s="16" t="n">
        <v>0.8573</v>
      </c>
      <c r="G58" s="15" t="n">
        <v>17.7</v>
      </c>
      <c r="H58" s="15" t="n">
        <v>0.1217773525310086</v>
      </c>
      <c r="I58" s="15" t="n">
        <v>0.3416203696509667</v>
      </c>
      <c r="J58" s="15" t="n">
        <v>0.2324005660886772</v>
      </c>
      <c r="K58" s="15" t="n">
        <v>0.2263782119124111</v>
      </c>
      <c r="L58" s="4" t="inlineStr"/>
      <c r="M58" s="4">
        <f>IF($L58="",6,IF($L58&lt;=5,1,IF($L58&lt;=10,2,IF($L58&lt;=15,3,IF($L58&lt;=20,4,IF($L58&lt;=25,5,6))))))</f>
        <v/>
      </c>
      <c r="N58" s="4">
        <f>IF($M58="","",$M58)</f>
        <v/>
      </c>
      <c r="O58" s="4">
        <f>IF($M58="","",$M58*2)</f>
        <v/>
      </c>
      <c r="P58" s="4">
        <f>IF($M58="","",$M58*3)</f>
        <v/>
      </c>
      <c r="Q58" s="4">
        <f>IF($M58="","",$M58*4)</f>
        <v/>
      </c>
      <c r="R58" s="4">
        <f>IF($M58="","",$M58*5)</f>
        <v/>
      </c>
      <c r="S58" s="4">
        <f>IF($M58="","",$M58*6)</f>
        <v/>
      </c>
    </row>
    <row r="59">
      <c r="A59" s="4" t="inlineStr">
        <is>
          <t>TTU</t>
        </is>
      </c>
      <c r="B59" s="4" t="inlineStr">
        <is>
          <t>Texas Tech</t>
        </is>
      </c>
      <c r="C59" s="8" t="n">
        <v>5</v>
      </c>
      <c r="D59" s="4" t="inlineStr">
        <is>
          <t>Midwest</t>
        </is>
      </c>
      <c r="E59" s="15" t="n">
        <v>25.22</v>
      </c>
      <c r="F59" s="16" t="n">
        <v>0.9439</v>
      </c>
      <c r="G59" s="15" t="n">
        <v>18.3</v>
      </c>
      <c r="H59" s="15" t="n">
        <v>0.6900312939288135</v>
      </c>
      <c r="I59" s="15" t="n">
        <v>0.7794202070431064</v>
      </c>
      <c r="J59" s="15" t="n">
        <v>0.2878181177918805</v>
      </c>
      <c r="K59" s="15" t="n">
        <v>0.6207641194845827</v>
      </c>
      <c r="L59" s="4" t="n">
        <v>16</v>
      </c>
      <c r="M59" s="4">
        <f>IF($L59="",6,IF($L59&lt;=5,1,IF($L59&lt;=10,2,IF($L59&lt;=15,3,IF($L59&lt;=20,4,IF($L59&lt;=25,5,6))))))</f>
        <v/>
      </c>
      <c r="N59" s="4">
        <f>IF($M59="","",$M59)</f>
        <v/>
      </c>
      <c r="O59" s="4">
        <f>IF($M59="","",$M59*2)</f>
        <v/>
      </c>
      <c r="P59" s="4">
        <f>IF($M59="","",$M59*3)</f>
        <v/>
      </c>
      <c r="Q59" s="4">
        <f>IF($M59="","",$M59*4)</f>
        <v/>
      </c>
      <c r="R59" s="4">
        <f>IF($M59="","",$M59*5)</f>
        <v/>
      </c>
      <c r="S59" s="4">
        <f>IF($M59="","",$M59*6)</f>
        <v/>
      </c>
    </row>
    <row r="60">
      <c r="A60" s="4" t="inlineStr">
        <is>
          <t>AKRN</t>
        </is>
      </c>
      <c r="B60" s="4" t="inlineStr">
        <is>
          <t>Akron</t>
        </is>
      </c>
      <c r="C60" s="8" t="n">
        <v>12</v>
      </c>
      <c r="D60" s="4" t="inlineStr">
        <is>
          <t>Midwest</t>
        </is>
      </c>
      <c r="E60" s="15" t="n">
        <v>12.8</v>
      </c>
      <c r="F60" s="16" t="n">
        <v>0.7725</v>
      </c>
      <c r="G60" s="15" t="n">
        <v>11.2</v>
      </c>
      <c r="H60" s="15" t="n">
        <v>-0.3328258005872354</v>
      </c>
      <c r="I60" s="15" t="n">
        <v>-0.08707970206789518</v>
      </c>
      <c r="J60" s="15" t="n">
        <v>-0.3679562440293569</v>
      </c>
      <c r="K60" s="15" t="n">
        <v>-0.2555972769659967</v>
      </c>
      <c r="L60" s="4" t="inlineStr"/>
      <c r="M60" s="4">
        <f>IF($L60="",6,IF($L60&lt;=5,1,IF($L60&lt;=10,2,IF($L60&lt;=15,3,IF($L60&lt;=20,4,IF($L60&lt;=25,5,6))))))</f>
        <v/>
      </c>
      <c r="N60" s="4">
        <f>IF($M60="","",$M60)</f>
        <v/>
      </c>
      <c r="O60" s="4">
        <f>IF($M60="","",$M60*2)</f>
        <v/>
      </c>
      <c r="P60" s="4">
        <f>IF($M60="","",$M60*3)</f>
        <v/>
      </c>
      <c r="Q60" s="4">
        <f>IF($M60="","",$M60*4)</f>
        <v/>
      </c>
      <c r="R60" s="4">
        <f>IF($M60="","",$M60*5)</f>
        <v/>
      </c>
      <c r="S60" s="4">
        <f>IF($M60="","",$M60*6)</f>
        <v/>
      </c>
    </row>
    <row r="61">
      <c r="A61" s="4" t="inlineStr">
        <is>
          <t>BAMA</t>
        </is>
      </c>
      <c r="B61" s="4" t="inlineStr">
        <is>
          <t>Alabama</t>
        </is>
      </c>
      <c r="C61" s="8" t="n">
        <v>4</v>
      </c>
      <c r="D61" s="4" t="inlineStr">
        <is>
          <t>Midwest</t>
        </is>
      </c>
      <c r="E61" s="15" t="n">
        <v>25.72</v>
      </c>
      <c r="F61" s="16" t="n">
        <v>0.9344</v>
      </c>
      <c r="G61" s="15" t="n">
        <v>23.2</v>
      </c>
      <c r="H61" s="15" t="n">
        <v>0.7312091157692341</v>
      </c>
      <c r="I61" s="15" t="n">
        <v>0.7313936659896965</v>
      </c>
      <c r="J61" s="15" t="n">
        <v>0.7403947900347062</v>
      </c>
      <c r="K61" s="15" t="n">
        <v>0.7335701269127639</v>
      </c>
      <c r="L61" s="4" t="n">
        <v>15</v>
      </c>
      <c r="M61" s="4">
        <f>IF($L61="",6,IF($L61&lt;=5,1,IF($L61&lt;=10,2,IF($L61&lt;=15,3,IF($L61&lt;=20,4,IF($L61&lt;=25,5,6))))))</f>
        <v/>
      </c>
      <c r="N61" s="4">
        <f>IF($M61="","",$M61)</f>
        <v/>
      </c>
      <c r="O61" s="4">
        <f>IF($M61="","",$M61*2)</f>
        <v/>
      </c>
      <c r="P61" s="4">
        <f>IF($M61="","",$M61*3)</f>
        <v/>
      </c>
      <c r="Q61" s="4">
        <f>IF($M61="","",$M61*4)</f>
        <v/>
      </c>
      <c r="R61" s="4">
        <f>IF($M61="","",$M61*5)</f>
        <v/>
      </c>
      <c r="S61" s="4">
        <f>IF($M61="","",$M61*6)</f>
        <v/>
      </c>
    </row>
    <row r="62">
      <c r="A62" s="4" t="inlineStr">
        <is>
          <t>HOF</t>
        </is>
      </c>
      <c r="B62" s="4" t="inlineStr">
        <is>
          <t>Hofstra</t>
        </is>
      </c>
      <c r="C62" s="8" t="n">
        <v>13</v>
      </c>
      <c r="D62" s="4" t="inlineStr">
        <is>
          <t>Midwest</t>
        </is>
      </c>
      <c r="E62" s="15" t="n">
        <v>9.49</v>
      </c>
      <c r="F62" s="16" t="n">
        <v>0.7054</v>
      </c>
      <c r="G62" s="15" t="n">
        <v>10</v>
      </c>
      <c r="H62" s="15" t="n">
        <v>-0.6054229811708202</v>
      </c>
      <c r="I62" s="15" t="n">
        <v>-0.4262987446661924</v>
      </c>
      <c r="J62" s="15" t="n">
        <v>-0.4787913474357632</v>
      </c>
      <c r="K62" s="15" t="n">
        <v>-0.5110715899604362</v>
      </c>
      <c r="L62" s="4" t="inlineStr"/>
      <c r="M62" s="4">
        <f>IF($L62="",6,IF($L62&lt;=5,1,IF($L62&lt;=10,2,IF($L62&lt;=15,3,IF($L62&lt;=20,4,IF($L62&lt;=25,5,6))))))</f>
        <v/>
      </c>
      <c r="N62" s="4">
        <f>IF($M62="","",$M62)</f>
        <v/>
      </c>
      <c r="O62" s="4">
        <f>IF($M62="","",$M62*2)</f>
        <v/>
      </c>
      <c r="P62" s="4">
        <f>IF($M62="","",$M62*3)</f>
        <v/>
      </c>
      <c r="Q62" s="4">
        <f>IF($M62="","",$M62*4)</f>
        <v/>
      </c>
      <c r="R62" s="4">
        <f>IF($M62="","",$M62*5)</f>
        <v/>
      </c>
      <c r="S62" s="4">
        <f>IF($M62="","",$M62*6)</f>
        <v/>
      </c>
    </row>
    <row r="63">
      <c r="A63" s="4" t="inlineStr">
        <is>
          <t>TENN</t>
        </is>
      </c>
      <c r="B63" s="4" t="inlineStr">
        <is>
          <t>Tennessee</t>
        </is>
      </c>
      <c r="C63" s="8" t="n">
        <v>6</v>
      </c>
      <c r="D63" s="4" t="inlineStr">
        <is>
          <t>Midwest</t>
        </is>
      </c>
      <c r="E63" s="15" t="n">
        <v>26.02</v>
      </c>
      <c r="F63" s="16" t="n">
        <v>0.9408</v>
      </c>
      <c r="G63" s="15" t="n">
        <v>23.5</v>
      </c>
      <c r="H63" s="15" t="n">
        <v>0.7559158088734865</v>
      </c>
      <c r="I63" s="15" t="n">
        <v>0.7637483883835726</v>
      </c>
      <c r="J63" s="15" t="n">
        <v>0.7681035658863078</v>
      </c>
      <c r="K63" s="15" t="n">
        <v>0.761704150955222</v>
      </c>
      <c r="L63" s="4" t="n">
        <v>25</v>
      </c>
      <c r="M63" s="4">
        <f>IF($L63="",6,IF($L63&lt;=5,1,IF($L63&lt;=10,2,IF($L63&lt;=15,3,IF($L63&lt;=20,4,IF($L63&lt;=25,5,6))))))</f>
        <v/>
      </c>
      <c r="N63" s="4">
        <f>IF($M63="","",$M63)</f>
        <v/>
      </c>
      <c r="O63" s="4">
        <f>IF($M63="","",$M63*2)</f>
        <v/>
      </c>
      <c r="P63" s="4">
        <f>IF($M63="","",$M63*3)</f>
        <v/>
      </c>
      <c r="Q63" s="4">
        <f>IF($M63="","",$M63*4)</f>
        <v/>
      </c>
      <c r="R63" s="4">
        <f>IF($M63="","",$M63*5)</f>
        <v/>
      </c>
      <c r="S63" s="4">
        <f>IF($M63="","",$M63*6)</f>
        <v/>
      </c>
    </row>
    <row r="64">
      <c r="A64" s="4" t="inlineStr">
        <is>
          <t>NCSU</t>
        </is>
      </c>
      <c r="B64" s="4" t="inlineStr">
        <is>
          <t>NC State</t>
        </is>
      </c>
      <c r="C64" s="8" t="n">
        <v>11</v>
      </c>
      <c r="D64" s="4" t="inlineStr">
        <is>
          <t>Midwest</t>
        </is>
      </c>
      <c r="E64" s="15" t="n">
        <v>19.6</v>
      </c>
      <c r="F64" s="16" t="n">
        <v>0.8761</v>
      </c>
      <c r="G64" s="15" t="n">
        <v>16.5</v>
      </c>
      <c r="H64" s="15" t="n">
        <v>0.2271925764424855</v>
      </c>
      <c r="I64" s="15" t="n">
        <v>0.4366623666829788</v>
      </c>
      <c r="J64" s="15" t="n">
        <v>0.121565462682271</v>
      </c>
      <c r="K64" s="15" t="n">
        <v>0.2741002245866045</v>
      </c>
      <c r="L64" s="4" t="inlineStr"/>
      <c r="M64" s="4">
        <f>IF($L64="",6,IF($L64&lt;=5,1,IF($L64&lt;=10,2,IF($L64&lt;=15,3,IF($L64&lt;=20,4,IF($L64&lt;=25,5,6))))))</f>
        <v/>
      </c>
      <c r="N64" s="4">
        <f>IF($M64="","",$M64)</f>
        <v/>
      </c>
      <c r="O64" s="4">
        <f>IF($M64="","",$M64*2)</f>
        <v/>
      </c>
      <c r="P64" s="4">
        <f>IF($M64="","",$M64*3)</f>
        <v/>
      </c>
      <c r="Q64" s="4">
        <f>IF($M64="","",$M64*4)</f>
        <v/>
      </c>
      <c r="R64" s="4">
        <f>IF($M64="","",$M64*5)</f>
        <v/>
      </c>
      <c r="S64" s="4">
        <f>IF($M64="","",$M64*6)</f>
        <v/>
      </c>
    </row>
    <row r="65">
      <c r="A65" s="4" t="inlineStr">
        <is>
          <t>TEX</t>
        </is>
      </c>
      <c r="B65" s="4" t="inlineStr">
        <is>
          <t>Texas</t>
        </is>
      </c>
      <c r="C65" s="8" t="n">
        <v>11</v>
      </c>
      <c r="D65" s="4" t="inlineStr">
        <is>
          <t>Midwest</t>
        </is>
      </c>
      <c r="E65" s="15" t="n">
        <v>19.03</v>
      </c>
      <c r="F65" s="16" t="n">
        <v>0.8536</v>
      </c>
      <c r="G65" s="15" t="n">
        <v>17.1</v>
      </c>
      <c r="H65" s="15" t="n">
        <v>0.1802498595444059</v>
      </c>
      <c r="I65" s="15" t="n">
        <v>0.3229152957670073</v>
      </c>
      <c r="J65" s="15" t="n">
        <v>0.1769830143854743</v>
      </c>
      <c r="K65" s="15" t="n">
        <v>0.2293660509325835</v>
      </c>
      <c r="L65" s="4" t="inlineStr"/>
      <c r="M65" s="4">
        <f>IF($L65="",6,IF($L65&lt;=5,1,IF($L65&lt;=10,2,IF($L65&lt;=15,3,IF($L65&lt;=20,4,IF($L65&lt;=25,5,6))))))</f>
        <v/>
      </c>
      <c r="N65" s="4">
        <f>IF($M65="","",$M65)</f>
        <v/>
      </c>
      <c r="O65" s="4">
        <f>IF($M65="","",$M65*2)</f>
        <v/>
      </c>
      <c r="P65" s="4">
        <f>IF($M65="","",$M65*3)</f>
        <v/>
      </c>
      <c r="Q65" s="4">
        <f>IF($M65="","",$M65*4)</f>
        <v/>
      </c>
      <c r="R65" s="4">
        <f>IF($M65="","",$M65*5)</f>
        <v/>
      </c>
      <c r="S65" s="4">
        <f>IF($M65="","",$M65*6)</f>
        <v/>
      </c>
    </row>
    <row r="66">
      <c r="A66" s="4" t="inlineStr">
        <is>
          <t>UVA</t>
        </is>
      </c>
      <c r="B66" s="4" t="inlineStr">
        <is>
          <t>Virginia</t>
        </is>
      </c>
      <c r="C66" s="8" t="n">
        <v>3</v>
      </c>
      <c r="D66" s="4" t="inlineStr">
        <is>
          <t>Midwest</t>
        </is>
      </c>
      <c r="E66" s="15" t="n">
        <v>26.71</v>
      </c>
      <c r="F66" s="16" t="n">
        <v>0.9427</v>
      </c>
      <c r="G66" s="15" t="n">
        <v>24.1</v>
      </c>
      <c r="H66" s="15" t="n">
        <v>0.8127412030132671</v>
      </c>
      <c r="I66" s="15" t="n">
        <v>0.7733536965942547</v>
      </c>
      <c r="J66" s="15" t="n">
        <v>0.8235211175895111</v>
      </c>
      <c r="K66" s="15" t="n">
        <v>0.8016505544106738</v>
      </c>
      <c r="L66" s="4" t="n">
        <v>10</v>
      </c>
      <c r="M66" s="4">
        <f>IF($L66="",6,IF($L66&lt;=5,1,IF($L66&lt;=10,2,IF($L66&lt;=15,3,IF($L66&lt;=20,4,IF($L66&lt;=25,5,6))))))</f>
        <v/>
      </c>
      <c r="N66" s="4">
        <f>IF($M66="","",$M66)</f>
        <v/>
      </c>
      <c r="O66" s="4">
        <f>IF($M66="","",$M66*2)</f>
        <v/>
      </c>
      <c r="P66" s="4">
        <f>IF($M66="","",$M66*3)</f>
        <v/>
      </c>
      <c r="Q66" s="4">
        <f>IF($M66="","",$M66*4)</f>
        <v/>
      </c>
      <c r="R66" s="4">
        <f>IF($M66="","",$M66*5)</f>
        <v/>
      </c>
      <c r="S66" s="4">
        <f>IF($M66="","",$M66*6)</f>
        <v/>
      </c>
    </row>
    <row r="67">
      <c r="A67" s="4" t="inlineStr">
        <is>
          <t>WRST</t>
        </is>
      </c>
      <c r="B67" s="4" t="inlineStr">
        <is>
          <t>Wright State</t>
        </is>
      </c>
      <c r="C67" s="8" t="n">
        <v>14</v>
      </c>
      <c r="D67" s="4" t="inlineStr">
        <is>
          <t>Midwest</t>
        </is>
      </c>
      <c r="E67" s="15" t="n">
        <v>2.04</v>
      </c>
      <c r="F67" s="16" t="n">
        <v>0.5859</v>
      </c>
      <c r="G67" s="15" t="n">
        <v>1.3</v>
      </c>
      <c r="H67" s="15" t="n">
        <v>-1.218972526593088</v>
      </c>
      <c r="I67" s="15" t="n">
        <v>-1.030422076864353</v>
      </c>
      <c r="J67" s="15" t="n">
        <v>-1.282345847132209</v>
      </c>
      <c r="K67" s="15" t="n">
        <v>-1.168823199322811</v>
      </c>
      <c r="L67" s="4" t="inlineStr"/>
      <c r="M67" s="4">
        <f>IF($L67="",6,IF($L67&lt;=5,1,IF($L67&lt;=10,2,IF($L67&lt;=15,3,IF($L67&lt;=20,4,IF($L67&lt;=25,5,6))))))</f>
        <v/>
      </c>
      <c r="N67" s="4">
        <f>IF($M67="","",$M67)</f>
        <v/>
      </c>
      <c r="O67" s="4">
        <f>IF($M67="","",$M67*2)</f>
        <v/>
      </c>
      <c r="P67" s="4">
        <f>IF($M67="","",$M67*3)</f>
        <v/>
      </c>
      <c r="Q67" s="4">
        <f>IF($M67="","",$M67*4)</f>
        <v/>
      </c>
      <c r="R67" s="4">
        <f>IF($M67="","",$M67*5)</f>
        <v/>
      </c>
      <c r="S67" s="4">
        <f>IF($M67="","",$M67*6)</f>
        <v/>
      </c>
    </row>
    <row r="68">
      <c r="A68" s="4" t="inlineStr">
        <is>
          <t>UK</t>
        </is>
      </c>
      <c r="B68" s="4" t="inlineStr">
        <is>
          <t>Kentucky</t>
        </is>
      </c>
      <c r="C68" s="8" t="n">
        <v>7</v>
      </c>
      <c r="D68" s="4" t="inlineStr">
        <is>
          <t>Midwest</t>
        </is>
      </c>
      <c r="E68" s="15" t="n">
        <v>21.48</v>
      </c>
      <c r="F68" s="16" t="n">
        <v>0.89</v>
      </c>
      <c r="G68" s="15" t="n">
        <v>20.2</v>
      </c>
      <c r="H68" s="15" t="n">
        <v>0.3820211865624671</v>
      </c>
      <c r="I68" s="15" t="n">
        <v>0.5069327793821791</v>
      </c>
      <c r="J68" s="15" t="n">
        <v>0.4633070315186904</v>
      </c>
      <c r="K68" s="15" t="n">
        <v>0.4460617052884221</v>
      </c>
      <c r="L68" s="4" t="inlineStr"/>
      <c r="M68" s="4">
        <f>IF($L68="",6,IF($L68&lt;=5,1,IF($L68&lt;=10,2,IF($L68&lt;=15,3,IF($L68&lt;=20,4,IF($L68&lt;=25,5,6))))))</f>
        <v/>
      </c>
      <c r="N68" s="4">
        <f>IF($M68="","",$M68)</f>
        <v/>
      </c>
      <c r="O68" s="4">
        <f>IF($M68="","",$M68*2)</f>
        <v/>
      </c>
      <c r="P68" s="4">
        <f>IF($M68="","",$M68*3)</f>
        <v/>
      </c>
      <c r="Q68" s="4">
        <f>IF($M68="","",$M68*4)</f>
        <v/>
      </c>
      <c r="R68" s="4">
        <f>IF($M68="","",$M68*5)</f>
        <v/>
      </c>
      <c r="S68" s="4">
        <f>IF($M68="","",$M68*6)</f>
        <v/>
      </c>
    </row>
    <row r="69">
      <c r="A69" s="4" t="inlineStr">
        <is>
          <t>SCU</t>
        </is>
      </c>
      <c r="B69" s="4" t="inlineStr">
        <is>
          <t>Santa Clara</t>
        </is>
      </c>
      <c r="C69" s="8" t="n">
        <v>10</v>
      </c>
      <c r="D69" s="4" t="inlineStr">
        <is>
          <t>Midwest</t>
        </is>
      </c>
      <c r="E69" s="15" t="n">
        <v>19.4</v>
      </c>
      <c r="F69" s="16" t="n">
        <v>0.895</v>
      </c>
      <c r="G69" s="15" t="n">
        <v>16.9</v>
      </c>
      <c r="H69" s="15" t="n">
        <v>0.210721447706317</v>
      </c>
      <c r="I69" s="15" t="n">
        <v>0.5322099062523951</v>
      </c>
      <c r="J69" s="15" t="n">
        <v>0.158510497151073</v>
      </c>
      <c r="K69" s="15" t="n">
        <v>0.3101896705586333</v>
      </c>
      <c r="L69" s="4" t="inlineStr"/>
      <c r="M69" s="4">
        <f>IF($L69="",6,IF($L69&lt;=5,1,IF($L69&lt;=10,2,IF($L69&lt;=15,3,IF($L69&lt;=20,4,IF($L69&lt;=25,5,6))))))</f>
        <v/>
      </c>
      <c r="N69" s="4">
        <f>IF($M69="","",$M69)</f>
        <v/>
      </c>
      <c r="O69" s="4">
        <f>IF($M69="","",$M69*2)</f>
        <v/>
      </c>
      <c r="P69" s="4">
        <f>IF($M69="","",$M69*3)</f>
        <v/>
      </c>
      <c r="Q69" s="4">
        <f>IF($M69="","",$M69*4)</f>
        <v/>
      </c>
      <c r="R69" s="4">
        <f>IF($M69="","",$M69*5)</f>
        <v/>
      </c>
      <c r="S69" s="4">
        <f>IF($M69="","",$M69*6)</f>
        <v/>
      </c>
    </row>
    <row r="70">
      <c r="A70" s="4" t="inlineStr">
        <is>
          <t>ISU</t>
        </is>
      </c>
      <c r="B70" s="4" t="inlineStr">
        <is>
          <t>Iowa State</t>
        </is>
      </c>
      <c r="C70" s="8" t="n">
        <v>2</v>
      </c>
      <c r="D70" s="4" t="inlineStr">
        <is>
          <t>Midwest</t>
        </is>
      </c>
      <c r="E70" s="15" t="n">
        <v>32.42</v>
      </c>
      <c r="F70" s="16" t="n">
        <v>0.9655</v>
      </c>
      <c r="G70" s="15" t="n">
        <v>29.5</v>
      </c>
      <c r="H70" s="15" t="n">
        <v>1.282991928430871</v>
      </c>
      <c r="I70" s="15" t="n">
        <v>0.8886173951224395</v>
      </c>
      <c r="J70" s="15" t="n">
        <v>1.32227908291834</v>
      </c>
      <c r="K70" s="15" t="n">
        <v>1.154782630394787</v>
      </c>
      <c r="L70" s="4" t="n">
        <v>7</v>
      </c>
      <c r="M70" s="4">
        <f>IF($L70="",6,IF($L70&lt;=5,1,IF($L70&lt;=10,2,IF($L70&lt;=15,3,IF($L70&lt;=20,4,IF($L70&lt;=25,5,6))))))</f>
        <v/>
      </c>
      <c r="N70" s="4">
        <f>IF($M70="","",$M70)</f>
        <v/>
      </c>
      <c r="O70" s="4">
        <f>IF($M70="","",$M70*2)</f>
        <v/>
      </c>
      <c r="P70" s="4">
        <f>IF($M70="","",$M70*3)</f>
        <v/>
      </c>
      <c r="Q70" s="4">
        <f>IF($M70="","",$M70*4)</f>
        <v/>
      </c>
      <c r="R70" s="4">
        <f>IF($M70="","",$M70*5)</f>
        <v/>
      </c>
      <c r="S70" s="4">
        <f>IF($M70="","",$M70*6)</f>
        <v/>
      </c>
    </row>
    <row r="71">
      <c r="A71" s="4" t="inlineStr">
        <is>
          <t>TNST</t>
        </is>
      </c>
      <c r="B71" s="4" t="inlineStr">
        <is>
          <t>Tennessee State</t>
        </is>
      </c>
      <c r="C71" s="8" t="n">
        <v>15</v>
      </c>
      <c r="D71" s="4" t="inlineStr">
        <is>
          <t>Midwest</t>
        </is>
      </c>
      <c r="E71" s="15" t="n">
        <v>-1.83</v>
      </c>
      <c r="F71" s="16" t="n">
        <v>0.3951</v>
      </c>
      <c r="G71" s="15" t="n">
        <v>0.4</v>
      </c>
      <c r="H71" s="15" t="n">
        <v>-1.537688867637944</v>
      </c>
      <c r="I71" s="15" t="n">
        <v>-1.994997238231792</v>
      </c>
      <c r="J71" s="15" t="n">
        <v>-1.365472174687014</v>
      </c>
      <c r="K71" s="15" t="n">
        <v>-1.654692624108058</v>
      </c>
      <c r="L71" s="4" t="inlineStr"/>
      <c r="M71" s="4">
        <f>IF($L71="",6,IF($L71&lt;=5,1,IF($L71&lt;=10,2,IF($L71&lt;=15,3,IF($L71&lt;=20,4,IF($L71&lt;=25,5,6))))))</f>
        <v/>
      </c>
      <c r="N71" s="4">
        <f>IF($M71="","",$M71)</f>
        <v/>
      </c>
      <c r="O71" s="4">
        <f>IF($M71="","",$M71*2)</f>
        <v/>
      </c>
      <c r="P71" s="4">
        <f>IF($M71="","",$M71*3)</f>
        <v/>
      </c>
      <c r="Q71" s="4">
        <f>IF($M71="","",$M71*4)</f>
        <v/>
      </c>
      <c r="R71" s="4">
        <f>IF($M71="","",$M71*5)</f>
        <v/>
      </c>
      <c r="S71" s="4">
        <f>IF($M71="","",$M71*6)</f>
        <v/>
      </c>
    </row>
    <row r="72">
      <c r="A72" t="inlineStr">
        <is>
          <t>FF_W_11</t>
        </is>
      </c>
      <c r="B72" t="inlineStr">
        <is>
          <t>SMU/Miami (OH) Winner</t>
        </is>
      </c>
      <c r="C72" t="n">
        <v>11</v>
      </c>
      <c r="D72" t="inlineStr">
        <is>
          <t>West</t>
        </is>
      </c>
      <c r="E72" s="17" t="n"/>
      <c r="F72" s="18" t="n"/>
      <c r="G72" s="17" t="n"/>
      <c r="H72" s="15" t="n"/>
      <c r="I72" s="15" t="n"/>
      <c r="J72" s="15" t="n"/>
      <c r="K72" s="15" t="n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</row>
    <row r="73">
      <c r="A73" t="inlineStr">
        <is>
          <t>FF_S_16</t>
        </is>
      </c>
      <c r="B73" t="inlineStr">
        <is>
          <t>Howard/UMBC Winner</t>
        </is>
      </c>
      <c r="C73" t="n">
        <v>16</v>
      </c>
      <c r="D73" t="inlineStr">
        <is>
          <t>South</t>
        </is>
      </c>
      <c r="E73" s="17" t="n"/>
      <c r="F73" s="18" t="n"/>
      <c r="G73" s="17" t="n"/>
      <c r="H73" s="15" t="n"/>
      <c r="I73" s="15" t="n"/>
      <c r="J73" s="15" t="n"/>
      <c r="K73" s="15" t="n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</row>
    <row r="74">
      <c r="A74" t="inlineStr">
        <is>
          <t>FF_M_11</t>
        </is>
      </c>
      <c r="B74" t="inlineStr">
        <is>
          <t>NC State/Texas Winner</t>
        </is>
      </c>
      <c r="C74" t="n">
        <v>11</v>
      </c>
      <c r="D74" t="inlineStr">
        <is>
          <t>Midwest</t>
        </is>
      </c>
      <c r="E74" s="17" t="n"/>
      <c r="F74" s="18" t="n"/>
      <c r="G74" s="17" t="n"/>
      <c r="H74" s="15" t="n"/>
      <c r="I74" s="15" t="n"/>
      <c r="J74" s="15" t="n"/>
      <c r="K74" s="15" t="n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</row>
    <row r="75">
      <c r="A75" t="inlineStr">
        <is>
          <t>FF_M_16</t>
        </is>
      </c>
      <c r="B75" t="inlineStr">
        <is>
          <t>Lehigh/Prairie View A&amp;M Winner</t>
        </is>
      </c>
      <c r="C75" t="n">
        <v>16</v>
      </c>
      <c r="D75" t="inlineStr">
        <is>
          <t>Midwest</t>
        </is>
      </c>
      <c r="E75" s="17" t="n"/>
      <c r="F75" s="18" t="n"/>
      <c r="G75" s="17" t="n"/>
      <c r="H75" s="15" t="n"/>
      <c r="I75" s="15" t="n"/>
      <c r="J75" s="15" t="n"/>
      <c r="K75" s="15" t="n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</row>
  </sheetData>
  <mergeCells count="2">
    <mergeCell ref="A3:S3"/>
    <mergeCell ref="A2:S2"/>
  </mergeCells>
  <dataValidations count="1">
    <dataValidation sqref="D4:D75" showDropDown="0" showInputMessage="0" showErrorMessage="0" allowBlank="1" type="list">
      <formula1>"East,West,South,Midwest"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6" customWidth="1" min="4" max="4"/>
    <col width="12" customWidth="1" min="5" max="5"/>
    <col width="12" customWidth="1" min="6" max="6"/>
    <col width="22" customWidth="1" min="7" max="7"/>
    <col width="10" customWidth="1" min="8" max="8"/>
    <col width="22" customWidth="1" min="9" max="9"/>
    <col width="10" customWidth="1" min="10" max="10"/>
  </cols>
  <sheetData>
    <row r="1" ht="22" customHeight="1">
      <c r="A1" s="3" t="inlineStr">
        <is>
          <t>game_id</t>
        </is>
      </c>
      <c r="B1" s="3" t="inlineStr">
        <is>
          <t>round_num</t>
        </is>
      </c>
      <c r="C1" s="3" t="inlineStr">
        <is>
          <t>region</t>
        </is>
      </c>
      <c r="D1" s="3" t="inlineStr">
        <is>
          <t>slot</t>
        </is>
      </c>
      <c r="E1" s="3" t="inlineStr">
        <is>
          <t>team1_id</t>
        </is>
      </c>
      <c r="F1" s="3" t="inlineStr">
        <is>
          <t>team2_id</t>
        </is>
      </c>
      <c r="G1" s="3" t="inlineStr">
        <is>
          <t>team1_name</t>
        </is>
      </c>
      <c r="H1" s="3" t="inlineStr">
        <is>
          <t>team1_seed</t>
        </is>
      </c>
      <c r="I1" s="3" t="inlineStr">
        <is>
          <t>team2_name</t>
        </is>
      </c>
      <c r="J1" s="3" t="inlineStr">
        <is>
          <t>team2_seed</t>
        </is>
      </c>
    </row>
    <row r="2">
      <c r="A2" s="4" t="inlineStr">
        <is>
          <t>R64_E_01</t>
        </is>
      </c>
      <c r="B2" s="4" t="n">
        <v>64</v>
      </c>
      <c r="C2" s="4" t="inlineStr">
        <is>
          <t>East</t>
        </is>
      </c>
      <c r="D2" s="4" t="n">
        <v>1</v>
      </c>
      <c r="E2" s="4" t="inlineStr">
        <is>
          <t>DUKE</t>
        </is>
      </c>
      <c r="F2" s="4" t="inlineStr">
        <is>
          <t>SIENA</t>
        </is>
      </c>
      <c r="G2" s="4">
        <f>IF($E2="","",VLOOKUP($E2,teams!$A$4:$K$75,2,FALSE))</f>
        <v/>
      </c>
      <c r="H2" s="8">
        <f>IF($E2="","",VLOOKUP($E2,teams!$A$4:$K$75,3,FALSE))</f>
        <v/>
      </c>
      <c r="I2" s="4">
        <f>IF($F2="","",VLOOKUP($F2,teams!$A$4:$K$75,2,FALSE))</f>
        <v/>
      </c>
      <c r="J2" s="8">
        <f>IF($F2="","",VLOOKUP($F2,teams!$A$4:$K$75,3,FALSE))</f>
        <v/>
      </c>
    </row>
    <row r="3">
      <c r="A3" s="4" t="inlineStr">
        <is>
          <t>R64_E_02</t>
        </is>
      </c>
      <c r="B3" s="4" t="n">
        <v>64</v>
      </c>
      <c r="C3" s="4" t="inlineStr">
        <is>
          <t>East</t>
        </is>
      </c>
      <c r="D3" s="4" t="n">
        <v>2</v>
      </c>
      <c r="E3" s="4" t="inlineStr">
        <is>
          <t>OHST</t>
        </is>
      </c>
      <c r="F3" s="4" t="inlineStr">
        <is>
          <t>TCU</t>
        </is>
      </c>
      <c r="G3" s="4">
        <f>IF($E3="","",VLOOKUP($E3,teams!$A$4:$K$75,2,FALSE))</f>
        <v/>
      </c>
      <c r="H3" s="8">
        <f>IF($E3="","",VLOOKUP($E3,teams!$A$4:$K$75,3,FALSE))</f>
        <v/>
      </c>
      <c r="I3" s="4">
        <f>IF($F3="","",VLOOKUP($F3,teams!$A$4:$K$75,2,FALSE))</f>
        <v/>
      </c>
      <c r="J3" s="8">
        <f>IF($F3="","",VLOOKUP($F3,teams!$A$4:$K$75,3,FALSE))</f>
        <v/>
      </c>
    </row>
    <row r="4">
      <c r="A4" s="4" t="inlineStr">
        <is>
          <t>R64_E_03</t>
        </is>
      </c>
      <c r="B4" s="4" t="n">
        <v>64</v>
      </c>
      <c r="C4" s="4" t="inlineStr">
        <is>
          <t>East</t>
        </is>
      </c>
      <c r="D4" s="4" t="n">
        <v>3</v>
      </c>
      <c r="E4" s="4" t="inlineStr">
        <is>
          <t>SJU</t>
        </is>
      </c>
      <c r="F4" s="4" t="inlineStr">
        <is>
          <t>UNI</t>
        </is>
      </c>
      <c r="G4" s="4">
        <f>IF($E4="","",VLOOKUP($E4,teams!$A$4:$K$75,2,FALSE))</f>
        <v/>
      </c>
      <c r="H4" s="8">
        <f>IF($E4="","",VLOOKUP($E4,teams!$A$4:$K$75,3,FALSE))</f>
        <v/>
      </c>
      <c r="I4" s="4">
        <f>IF($F4="","",VLOOKUP($F4,teams!$A$4:$K$75,2,FALSE))</f>
        <v/>
      </c>
      <c r="J4" s="8">
        <f>IF($F4="","",VLOOKUP($F4,teams!$A$4:$K$75,3,FALSE))</f>
        <v/>
      </c>
    </row>
    <row r="5">
      <c r="A5" s="4" t="inlineStr">
        <is>
          <t>R64_E_04</t>
        </is>
      </c>
      <c r="B5" s="4" t="n">
        <v>64</v>
      </c>
      <c r="C5" s="4" t="inlineStr">
        <is>
          <t>East</t>
        </is>
      </c>
      <c r="D5" s="4" t="n">
        <v>4</v>
      </c>
      <c r="E5" s="4" t="inlineStr">
        <is>
          <t>KU</t>
        </is>
      </c>
      <c r="F5" s="4" t="inlineStr">
        <is>
          <t>CBU</t>
        </is>
      </c>
      <c r="G5" s="4">
        <f>IF($E5="","",VLOOKUP($E5,teams!$A$4:$K$75,2,FALSE))</f>
        <v/>
      </c>
      <c r="H5" s="8">
        <f>IF($E5="","",VLOOKUP($E5,teams!$A$4:$K$75,3,FALSE))</f>
        <v/>
      </c>
      <c r="I5" s="4">
        <f>IF($F5="","",VLOOKUP($F5,teams!$A$4:$K$75,2,FALSE))</f>
        <v/>
      </c>
      <c r="J5" s="8">
        <f>IF($F5="","",VLOOKUP($F5,teams!$A$4:$K$75,3,FALSE))</f>
        <v/>
      </c>
    </row>
    <row r="6">
      <c r="A6" s="4" t="inlineStr">
        <is>
          <t>R64_E_05</t>
        </is>
      </c>
      <c r="B6" s="4" t="n">
        <v>64</v>
      </c>
      <c r="C6" s="4" t="inlineStr">
        <is>
          <t>East</t>
        </is>
      </c>
      <c r="D6" s="4" t="n">
        <v>5</v>
      </c>
      <c r="E6" s="4" t="inlineStr">
        <is>
          <t>LOU</t>
        </is>
      </c>
      <c r="F6" s="4" t="inlineStr">
        <is>
          <t>USF</t>
        </is>
      </c>
      <c r="G6" s="4">
        <f>IF($E6="","",VLOOKUP($E6,teams!$A$4:$K$75,2,FALSE))</f>
        <v/>
      </c>
      <c r="H6" s="8">
        <f>IF($E6="","",VLOOKUP($E6,teams!$A$4:$K$75,3,FALSE))</f>
        <v/>
      </c>
      <c r="I6" s="4">
        <f>IF($F6="","",VLOOKUP($F6,teams!$A$4:$K$75,2,FALSE))</f>
        <v/>
      </c>
      <c r="J6" s="8">
        <f>IF($F6="","",VLOOKUP($F6,teams!$A$4:$K$75,3,FALSE))</f>
        <v/>
      </c>
    </row>
    <row r="7">
      <c r="A7" s="4" t="inlineStr">
        <is>
          <t>R64_E_06</t>
        </is>
      </c>
      <c r="B7" s="4" t="n">
        <v>64</v>
      </c>
      <c r="C7" s="4" t="inlineStr">
        <is>
          <t>East</t>
        </is>
      </c>
      <c r="D7" s="4" t="n">
        <v>6</v>
      </c>
      <c r="E7" s="4" t="inlineStr">
        <is>
          <t>MSU</t>
        </is>
      </c>
      <c r="F7" s="4" t="inlineStr">
        <is>
          <t>NDSU</t>
        </is>
      </c>
      <c r="G7" s="4">
        <f>IF($E7="","",VLOOKUP($E7,teams!$A$4:$K$75,2,FALSE))</f>
        <v/>
      </c>
      <c r="H7" s="8">
        <f>IF($E7="","",VLOOKUP($E7,teams!$A$4:$K$75,3,FALSE))</f>
        <v/>
      </c>
      <c r="I7" s="4">
        <f>IF($F7="","",VLOOKUP($F7,teams!$A$4:$K$75,2,FALSE))</f>
        <v/>
      </c>
      <c r="J7" s="8">
        <f>IF($F7="","",VLOOKUP($F7,teams!$A$4:$K$75,3,FALSE))</f>
        <v/>
      </c>
    </row>
    <row r="8">
      <c r="A8" s="4" t="inlineStr">
        <is>
          <t>R64_E_07</t>
        </is>
      </c>
      <c r="B8" s="4" t="n">
        <v>64</v>
      </c>
      <c r="C8" s="4" t="inlineStr">
        <is>
          <t>East</t>
        </is>
      </c>
      <c r="D8" s="4" t="n">
        <v>7</v>
      </c>
      <c r="E8" s="4" t="inlineStr">
        <is>
          <t>UCLA</t>
        </is>
      </c>
      <c r="F8" s="4" t="inlineStr">
        <is>
          <t>UCF</t>
        </is>
      </c>
      <c r="G8" s="4">
        <f>IF($E8="","",VLOOKUP($E8,teams!$A$4:$K$75,2,FALSE))</f>
        <v/>
      </c>
      <c r="H8" s="8">
        <f>IF($E8="","",VLOOKUP($E8,teams!$A$4:$K$75,3,FALSE))</f>
        <v/>
      </c>
      <c r="I8" s="4">
        <f>IF($F8="","",VLOOKUP($F8,teams!$A$4:$K$75,2,FALSE))</f>
        <v/>
      </c>
      <c r="J8" s="8">
        <f>IF($F8="","",VLOOKUP($F8,teams!$A$4:$K$75,3,FALSE))</f>
        <v/>
      </c>
    </row>
    <row r="9">
      <c r="A9" s="4" t="inlineStr">
        <is>
          <t>R64_E_08</t>
        </is>
      </c>
      <c r="B9" s="4" t="n">
        <v>64</v>
      </c>
      <c r="C9" s="4" t="inlineStr">
        <is>
          <t>East</t>
        </is>
      </c>
      <c r="D9" s="4" t="n">
        <v>8</v>
      </c>
      <c r="E9" s="4" t="inlineStr">
        <is>
          <t>CONN</t>
        </is>
      </c>
      <c r="F9" s="4" t="inlineStr">
        <is>
          <t>FUR</t>
        </is>
      </c>
      <c r="G9" s="4">
        <f>IF($E9="","",VLOOKUP($E9,teams!$A$4:$K$75,2,FALSE))</f>
        <v/>
      </c>
      <c r="H9" s="8">
        <f>IF($E9="","",VLOOKUP($E9,teams!$A$4:$K$75,3,FALSE))</f>
        <v/>
      </c>
      <c r="I9" s="4">
        <f>IF($F9="","",VLOOKUP($F9,teams!$A$4:$K$75,2,FALSE))</f>
        <v/>
      </c>
      <c r="J9" s="8">
        <f>IF($F9="","",VLOOKUP($F9,teams!$A$4:$K$75,3,FALSE))</f>
        <v/>
      </c>
    </row>
    <row r="10">
      <c r="A10" s="4" t="inlineStr">
        <is>
          <t>R64_W_01</t>
        </is>
      </c>
      <c r="B10" s="4" t="n">
        <v>64</v>
      </c>
      <c r="C10" s="4" t="inlineStr">
        <is>
          <t>West</t>
        </is>
      </c>
      <c r="D10" s="4" t="n">
        <v>1</v>
      </c>
      <c r="E10" s="4" t="inlineStr">
        <is>
          <t>ARIZ</t>
        </is>
      </c>
      <c r="F10" s="4" t="inlineStr">
        <is>
          <t>LIU</t>
        </is>
      </c>
      <c r="G10" s="4">
        <f>IF($E10="","",VLOOKUP($E10,teams!$A$4:$K$75,2,FALSE))</f>
        <v/>
      </c>
      <c r="H10" s="8">
        <f>IF($E10="","",VLOOKUP($E10,teams!$A$4:$K$75,3,FALSE))</f>
        <v/>
      </c>
      <c r="I10" s="4">
        <f>IF($F10="","",VLOOKUP($F10,teams!$A$4:$K$75,2,FALSE))</f>
        <v/>
      </c>
      <c r="J10" s="8">
        <f>IF($F10="","",VLOOKUP($F10,teams!$A$4:$K$75,3,FALSE))</f>
        <v/>
      </c>
    </row>
    <row r="11">
      <c r="A11" s="4" t="inlineStr">
        <is>
          <t>R64_W_02</t>
        </is>
      </c>
      <c r="B11" s="4" t="n">
        <v>64</v>
      </c>
      <c r="C11" s="4" t="inlineStr">
        <is>
          <t>West</t>
        </is>
      </c>
      <c r="D11" s="4" t="n">
        <v>2</v>
      </c>
      <c r="E11" s="4" t="inlineStr">
        <is>
          <t>NOVA</t>
        </is>
      </c>
      <c r="F11" s="4" t="inlineStr">
        <is>
          <t>USU</t>
        </is>
      </c>
      <c r="G11" s="4">
        <f>IF($E11="","",VLOOKUP($E11,teams!$A$4:$K$75,2,FALSE))</f>
        <v/>
      </c>
      <c r="H11" s="8">
        <f>IF($E11="","",VLOOKUP($E11,teams!$A$4:$K$75,3,FALSE))</f>
        <v/>
      </c>
      <c r="I11" s="4">
        <f>IF($F11="","",VLOOKUP($F11,teams!$A$4:$K$75,2,FALSE))</f>
        <v/>
      </c>
      <c r="J11" s="8">
        <f>IF($F11="","",VLOOKUP($F11,teams!$A$4:$K$75,3,FALSE))</f>
        <v/>
      </c>
    </row>
    <row r="12">
      <c r="A12" s="4" t="inlineStr">
        <is>
          <t>R64_W_03</t>
        </is>
      </c>
      <c r="B12" s="4" t="n">
        <v>64</v>
      </c>
      <c r="C12" s="4" t="inlineStr">
        <is>
          <t>West</t>
        </is>
      </c>
      <c r="D12" s="4" t="n">
        <v>3</v>
      </c>
      <c r="E12" s="4" t="inlineStr">
        <is>
          <t>WIS</t>
        </is>
      </c>
      <c r="F12" s="4" t="inlineStr">
        <is>
          <t>HPU</t>
        </is>
      </c>
      <c r="G12" s="4">
        <f>IF($E12="","",VLOOKUP($E12,teams!$A$4:$K$75,2,FALSE))</f>
        <v/>
      </c>
      <c r="H12" s="8">
        <f>IF($E12="","",VLOOKUP($E12,teams!$A$4:$K$75,3,FALSE))</f>
        <v/>
      </c>
      <c r="I12" s="4">
        <f>IF($F12="","",VLOOKUP($F12,teams!$A$4:$K$75,2,FALSE))</f>
        <v/>
      </c>
      <c r="J12" s="8">
        <f>IF($F12="","",VLOOKUP($F12,teams!$A$4:$K$75,3,FALSE))</f>
        <v/>
      </c>
    </row>
    <row r="13">
      <c r="A13" s="4" t="inlineStr">
        <is>
          <t>R64_W_04</t>
        </is>
      </c>
      <c r="B13" s="4" t="n">
        <v>64</v>
      </c>
      <c r="C13" s="4" t="inlineStr">
        <is>
          <t>West</t>
        </is>
      </c>
      <c r="D13" s="4" t="n">
        <v>4</v>
      </c>
      <c r="E13" s="4" t="inlineStr">
        <is>
          <t>ARK</t>
        </is>
      </c>
      <c r="F13" s="4" t="inlineStr">
        <is>
          <t>HAW</t>
        </is>
      </c>
      <c r="G13" s="4">
        <f>IF($E13="","",VLOOKUP($E13,teams!$A$4:$K$75,2,FALSE))</f>
        <v/>
      </c>
      <c r="H13" s="8">
        <f>IF($E13="","",VLOOKUP($E13,teams!$A$4:$K$75,3,FALSE))</f>
        <v/>
      </c>
      <c r="I13" s="4">
        <f>IF($F13="","",VLOOKUP($F13,teams!$A$4:$K$75,2,FALSE))</f>
        <v/>
      </c>
      <c r="J13" s="8">
        <f>IF($F13="","",VLOOKUP($F13,teams!$A$4:$K$75,3,FALSE))</f>
        <v/>
      </c>
    </row>
    <row r="14">
      <c r="A14" s="4" t="inlineStr">
        <is>
          <t>R64_W_05</t>
        </is>
      </c>
      <c r="B14" s="4" t="n">
        <v>64</v>
      </c>
      <c r="C14" s="4" t="inlineStr">
        <is>
          <t>West</t>
        </is>
      </c>
      <c r="D14" s="4" t="n">
        <v>5</v>
      </c>
      <c r="E14" s="4" t="inlineStr">
        <is>
          <t>BYU</t>
        </is>
      </c>
      <c r="F14" s="4" t="inlineStr">
        <is>
          <t>FF_W_11</t>
        </is>
      </c>
      <c r="G14" s="4">
        <f>IF($E14="","",VLOOKUP($E14,teams!$A$4:$K$75,2,FALSE))</f>
        <v/>
      </c>
      <c r="H14" s="8">
        <f>IF($E14="","",VLOOKUP($E14,teams!$A$4:$K$75,3,FALSE))</f>
        <v/>
      </c>
      <c r="I14" s="4">
        <f>IF($F14="","",VLOOKUP($F14,teams!$A$4:$K$75,2,FALSE))</f>
        <v/>
      </c>
      <c r="J14" s="8">
        <f>IF($F14="","",VLOOKUP($F14,teams!$A$4:$K$75,3,FALSE))</f>
        <v/>
      </c>
    </row>
    <row r="15">
      <c r="A15" s="4" t="inlineStr">
        <is>
          <t>R64_W_06</t>
        </is>
      </c>
      <c r="B15" s="4" t="n">
        <v>64</v>
      </c>
      <c r="C15" s="4" t="inlineStr">
        <is>
          <t>West</t>
        </is>
      </c>
      <c r="D15" s="4" t="n">
        <v>6</v>
      </c>
      <c r="E15" s="4" t="inlineStr">
        <is>
          <t>GONZ</t>
        </is>
      </c>
      <c r="F15" s="4" t="inlineStr">
        <is>
          <t>KENN</t>
        </is>
      </c>
      <c r="G15" s="4">
        <f>IF($E15="","",VLOOKUP($E15,teams!$A$4:$K$75,2,FALSE))</f>
        <v/>
      </c>
      <c r="H15" s="8">
        <f>IF($E15="","",VLOOKUP($E15,teams!$A$4:$K$75,3,FALSE))</f>
        <v/>
      </c>
      <c r="I15" s="4">
        <f>IF($F15="","",VLOOKUP($F15,teams!$A$4:$K$75,2,FALSE))</f>
        <v/>
      </c>
      <c r="J15" s="8">
        <f>IF($F15="","",VLOOKUP($F15,teams!$A$4:$K$75,3,FALSE))</f>
        <v/>
      </c>
    </row>
    <row r="16">
      <c r="A16" s="4" t="inlineStr">
        <is>
          <t>R64_W_07</t>
        </is>
      </c>
      <c r="B16" s="4" t="n">
        <v>64</v>
      </c>
      <c r="C16" s="4" t="inlineStr">
        <is>
          <t>West</t>
        </is>
      </c>
      <c r="D16" s="4" t="n">
        <v>7</v>
      </c>
      <c r="E16" s="4" t="inlineStr">
        <is>
          <t>MIA</t>
        </is>
      </c>
      <c r="F16" s="4" t="inlineStr">
        <is>
          <t>MIZZ</t>
        </is>
      </c>
      <c r="G16" s="4">
        <f>IF($E16="","",VLOOKUP($E16,teams!$A$4:$K$75,2,FALSE))</f>
        <v/>
      </c>
      <c r="H16" s="8">
        <f>IF($E16="","",VLOOKUP($E16,teams!$A$4:$K$75,3,FALSE))</f>
        <v/>
      </c>
      <c r="I16" s="4">
        <f>IF($F16="","",VLOOKUP($F16,teams!$A$4:$K$75,2,FALSE))</f>
        <v/>
      </c>
      <c r="J16" s="8">
        <f>IF($F16="","",VLOOKUP($F16,teams!$A$4:$K$75,3,FALSE))</f>
        <v/>
      </c>
    </row>
    <row r="17">
      <c r="A17" s="4" t="inlineStr">
        <is>
          <t>R64_W_08</t>
        </is>
      </c>
      <c r="B17" s="4" t="n">
        <v>64</v>
      </c>
      <c r="C17" s="4" t="inlineStr">
        <is>
          <t>West</t>
        </is>
      </c>
      <c r="D17" s="4" t="n">
        <v>8</v>
      </c>
      <c r="E17" s="4" t="inlineStr">
        <is>
          <t>PUR</t>
        </is>
      </c>
      <c r="F17" s="4" t="inlineStr">
        <is>
          <t>QUE</t>
        </is>
      </c>
      <c r="G17" s="4">
        <f>IF($E17="","",VLOOKUP($E17,teams!$A$4:$K$75,2,FALSE))</f>
        <v/>
      </c>
      <c r="H17" s="8">
        <f>IF($E17="","",VLOOKUP($E17,teams!$A$4:$K$75,3,FALSE))</f>
        <v/>
      </c>
      <c r="I17" s="4">
        <f>IF($F17="","",VLOOKUP($F17,teams!$A$4:$K$75,2,FALSE))</f>
        <v/>
      </c>
      <c r="J17" s="8">
        <f>IF($F17="","",VLOOKUP($F17,teams!$A$4:$K$75,3,FALSE))</f>
        <v/>
      </c>
    </row>
    <row r="18">
      <c r="A18" s="4" t="inlineStr">
        <is>
          <t>R64_S_01</t>
        </is>
      </c>
      <c r="B18" s="4" t="n">
        <v>64</v>
      </c>
      <c r="C18" s="4" t="inlineStr">
        <is>
          <t>South</t>
        </is>
      </c>
      <c r="D18" s="4" t="n">
        <v>1</v>
      </c>
      <c r="E18" s="4" t="inlineStr">
        <is>
          <t>UF</t>
        </is>
      </c>
      <c r="F18" s="4" t="inlineStr">
        <is>
          <t>FF_S_16</t>
        </is>
      </c>
      <c r="G18" s="4">
        <f>IF($E18="","",VLOOKUP($E18,teams!$A$4:$K$75,2,FALSE))</f>
        <v/>
      </c>
      <c r="H18" s="8">
        <f>IF($E18="","",VLOOKUP($E18,teams!$A$4:$K$75,3,FALSE))</f>
        <v/>
      </c>
      <c r="I18" s="4">
        <f>IF($F18="","",VLOOKUP($F18,teams!$A$4:$K$75,2,FALSE))</f>
        <v/>
      </c>
      <c r="J18" s="8">
        <f>IF($F18="","",VLOOKUP($F18,teams!$A$4:$K$75,3,FALSE))</f>
        <v/>
      </c>
    </row>
    <row r="19">
      <c r="A19" s="4" t="inlineStr">
        <is>
          <t>R64_S_02</t>
        </is>
      </c>
      <c r="B19" s="4" t="n">
        <v>64</v>
      </c>
      <c r="C19" s="4" t="inlineStr">
        <is>
          <t>South</t>
        </is>
      </c>
      <c r="D19" s="4" t="n">
        <v>2</v>
      </c>
      <c r="E19" s="4" t="inlineStr">
        <is>
          <t>CLEM</t>
        </is>
      </c>
      <c r="F19" s="4" t="inlineStr">
        <is>
          <t>IOWA</t>
        </is>
      </c>
      <c r="G19" s="4">
        <f>IF($E19="","",VLOOKUP($E19,teams!$A$4:$K$75,2,FALSE))</f>
        <v/>
      </c>
      <c r="H19" s="8">
        <f>IF($E19="","",VLOOKUP($E19,teams!$A$4:$K$75,3,FALSE))</f>
        <v/>
      </c>
      <c r="I19" s="4">
        <f>IF($F19="","",VLOOKUP($F19,teams!$A$4:$K$75,2,FALSE))</f>
        <v/>
      </c>
      <c r="J19" s="8">
        <f>IF($F19="","",VLOOKUP($F19,teams!$A$4:$K$75,3,FALSE))</f>
        <v/>
      </c>
    </row>
    <row r="20">
      <c r="A20" s="4" t="inlineStr">
        <is>
          <t>R64_S_03</t>
        </is>
      </c>
      <c r="B20" s="4" t="n">
        <v>64</v>
      </c>
      <c r="C20" s="4" t="inlineStr">
        <is>
          <t>South</t>
        </is>
      </c>
      <c r="D20" s="4" t="n">
        <v>3</v>
      </c>
      <c r="E20" s="4" t="inlineStr">
        <is>
          <t>VAND</t>
        </is>
      </c>
      <c r="F20" s="4" t="inlineStr">
        <is>
          <t>MCN</t>
        </is>
      </c>
      <c r="G20" s="4">
        <f>IF($E20="","",VLOOKUP($E20,teams!$A$4:$K$75,2,FALSE))</f>
        <v/>
      </c>
      <c r="H20" s="8">
        <f>IF($E20="","",VLOOKUP($E20,teams!$A$4:$K$75,3,FALSE))</f>
        <v/>
      </c>
      <c r="I20" s="4">
        <f>IF($F20="","",VLOOKUP($F20,teams!$A$4:$K$75,2,FALSE))</f>
        <v/>
      </c>
      <c r="J20" s="8">
        <f>IF($F20="","",VLOOKUP($F20,teams!$A$4:$K$75,3,FALSE))</f>
        <v/>
      </c>
    </row>
    <row r="21">
      <c r="A21" s="4" t="inlineStr">
        <is>
          <t>R64_S_04</t>
        </is>
      </c>
      <c r="B21" s="4" t="n">
        <v>64</v>
      </c>
      <c r="C21" s="4" t="inlineStr">
        <is>
          <t>South</t>
        </is>
      </c>
      <c r="D21" s="4" t="n">
        <v>4</v>
      </c>
      <c r="E21" s="4" t="inlineStr">
        <is>
          <t>NEB</t>
        </is>
      </c>
      <c r="F21" s="4" t="inlineStr">
        <is>
          <t>TROY</t>
        </is>
      </c>
      <c r="G21" s="4">
        <f>IF($E21="","",VLOOKUP($E21,teams!$A$4:$K$75,2,FALSE))</f>
        <v/>
      </c>
      <c r="H21" s="8">
        <f>IF($E21="","",VLOOKUP($E21,teams!$A$4:$K$75,3,FALSE))</f>
        <v/>
      </c>
      <c r="I21" s="4">
        <f>IF($F21="","",VLOOKUP($F21,teams!$A$4:$K$75,2,FALSE))</f>
        <v/>
      </c>
      <c r="J21" s="8">
        <f>IF($F21="","",VLOOKUP($F21,teams!$A$4:$K$75,3,FALSE))</f>
        <v/>
      </c>
    </row>
    <row r="22">
      <c r="A22" s="4" t="inlineStr">
        <is>
          <t>R64_S_05</t>
        </is>
      </c>
      <c r="B22" s="4" t="n">
        <v>64</v>
      </c>
      <c r="C22" s="4" t="inlineStr">
        <is>
          <t>South</t>
        </is>
      </c>
      <c r="D22" s="4" t="n">
        <v>5</v>
      </c>
      <c r="E22" s="4" t="inlineStr">
        <is>
          <t>UNC</t>
        </is>
      </c>
      <c r="F22" s="4" t="inlineStr">
        <is>
          <t>VCU</t>
        </is>
      </c>
      <c r="G22" s="4">
        <f>IF($E22="","",VLOOKUP($E22,teams!$A$4:$K$75,2,FALSE))</f>
        <v/>
      </c>
      <c r="H22" s="8">
        <f>IF($E22="","",VLOOKUP($E22,teams!$A$4:$K$75,3,FALSE))</f>
        <v/>
      </c>
      <c r="I22" s="4">
        <f>IF($F22="","",VLOOKUP($F22,teams!$A$4:$K$75,2,FALSE))</f>
        <v/>
      </c>
      <c r="J22" s="8">
        <f>IF($F22="","",VLOOKUP($F22,teams!$A$4:$K$75,3,FALSE))</f>
        <v/>
      </c>
    </row>
    <row r="23">
      <c r="A23" s="4" t="inlineStr">
        <is>
          <t>R64_S_06</t>
        </is>
      </c>
      <c r="B23" s="4" t="n">
        <v>64</v>
      </c>
      <c r="C23" s="4" t="inlineStr">
        <is>
          <t>South</t>
        </is>
      </c>
      <c r="D23" s="4" t="n">
        <v>6</v>
      </c>
      <c r="E23" s="4" t="inlineStr">
        <is>
          <t>ILL</t>
        </is>
      </c>
      <c r="F23" s="4" t="inlineStr">
        <is>
          <t>PENN</t>
        </is>
      </c>
      <c r="G23" s="4">
        <f>IF($E23="","",VLOOKUP($E23,teams!$A$4:$K$75,2,FALSE))</f>
        <v/>
      </c>
      <c r="H23" s="8">
        <f>IF($E23="","",VLOOKUP($E23,teams!$A$4:$K$75,3,FALSE))</f>
        <v/>
      </c>
      <c r="I23" s="4">
        <f>IF($F23="","",VLOOKUP($F23,teams!$A$4:$K$75,2,FALSE))</f>
        <v/>
      </c>
      <c r="J23" s="8">
        <f>IF($F23="","",VLOOKUP($F23,teams!$A$4:$K$75,3,FALSE))</f>
        <v/>
      </c>
    </row>
    <row r="24">
      <c r="A24" s="4" t="inlineStr">
        <is>
          <t>R64_S_07</t>
        </is>
      </c>
      <c r="B24" s="4" t="n">
        <v>64</v>
      </c>
      <c r="C24" s="4" t="inlineStr">
        <is>
          <t>South</t>
        </is>
      </c>
      <c r="D24" s="4" t="n">
        <v>7</v>
      </c>
      <c r="E24" s="4" t="inlineStr">
        <is>
          <t>SMC</t>
        </is>
      </c>
      <c r="F24" s="4" t="inlineStr">
        <is>
          <t>TAMU</t>
        </is>
      </c>
      <c r="G24" s="4">
        <f>IF($E24="","",VLOOKUP($E24,teams!$A$4:$K$75,2,FALSE))</f>
        <v/>
      </c>
      <c r="H24" s="8">
        <f>IF($E24="","",VLOOKUP($E24,teams!$A$4:$K$75,3,FALSE))</f>
        <v/>
      </c>
      <c r="I24" s="4">
        <f>IF($F24="","",VLOOKUP($F24,teams!$A$4:$K$75,2,FALSE))</f>
        <v/>
      </c>
      <c r="J24" s="8">
        <f>IF($F24="","",VLOOKUP($F24,teams!$A$4:$K$75,3,FALSE))</f>
        <v/>
      </c>
    </row>
    <row r="25">
      <c r="A25" s="4" t="inlineStr">
        <is>
          <t>R64_S_08</t>
        </is>
      </c>
      <c r="B25" s="4" t="n">
        <v>64</v>
      </c>
      <c r="C25" s="4" t="inlineStr">
        <is>
          <t>South</t>
        </is>
      </c>
      <c r="D25" s="4" t="n">
        <v>8</v>
      </c>
      <c r="E25" s="4" t="inlineStr">
        <is>
          <t>HOU</t>
        </is>
      </c>
      <c r="F25" s="4" t="inlineStr">
        <is>
          <t>IDHO</t>
        </is>
      </c>
      <c r="G25" s="4">
        <f>IF($E25="","",VLOOKUP($E25,teams!$A$4:$K$75,2,FALSE))</f>
        <v/>
      </c>
      <c r="H25" s="8">
        <f>IF($E25="","",VLOOKUP($E25,teams!$A$4:$K$75,3,FALSE))</f>
        <v/>
      </c>
      <c r="I25" s="4">
        <f>IF($F25="","",VLOOKUP($F25,teams!$A$4:$K$75,2,FALSE))</f>
        <v/>
      </c>
      <c r="J25" s="8">
        <f>IF($F25="","",VLOOKUP($F25,teams!$A$4:$K$75,3,FALSE))</f>
        <v/>
      </c>
    </row>
    <row r="26">
      <c r="A26" s="4" t="inlineStr">
        <is>
          <t>R64_M_01</t>
        </is>
      </c>
      <c r="B26" s="4" t="n">
        <v>64</v>
      </c>
      <c r="C26" s="4" t="inlineStr">
        <is>
          <t>Midwest</t>
        </is>
      </c>
      <c r="D26" s="4" t="n">
        <v>1</v>
      </c>
      <c r="E26" s="4" t="inlineStr">
        <is>
          <t>MICH</t>
        </is>
      </c>
      <c r="F26" s="4" t="inlineStr">
        <is>
          <t>FF_M_16</t>
        </is>
      </c>
      <c r="G26" s="4">
        <f>IF($E26="","",VLOOKUP($E26,teams!$A$4:$K$75,2,FALSE))</f>
        <v/>
      </c>
      <c r="H26" s="8">
        <f>IF($E26="","",VLOOKUP($E26,teams!$A$4:$K$75,3,FALSE))</f>
        <v/>
      </c>
      <c r="I26" s="4">
        <f>IF($F26="","",VLOOKUP($F26,teams!$A$4:$K$75,2,FALSE))</f>
        <v/>
      </c>
      <c r="J26" s="8">
        <f>IF($F26="","",VLOOKUP($F26,teams!$A$4:$K$75,3,FALSE))</f>
        <v/>
      </c>
    </row>
    <row r="27">
      <c r="A27" s="4" t="inlineStr">
        <is>
          <t>R64_M_02</t>
        </is>
      </c>
      <c r="B27" s="4" t="n">
        <v>64</v>
      </c>
      <c r="C27" s="4" t="inlineStr">
        <is>
          <t>Midwest</t>
        </is>
      </c>
      <c r="D27" s="4" t="n">
        <v>2</v>
      </c>
      <c r="E27" s="4" t="inlineStr">
        <is>
          <t>UGA</t>
        </is>
      </c>
      <c r="F27" s="4" t="inlineStr">
        <is>
          <t>SLU</t>
        </is>
      </c>
      <c r="G27" s="4">
        <f>IF($E27="","",VLOOKUP($E27,teams!$A$4:$K$75,2,FALSE))</f>
        <v/>
      </c>
      <c r="H27" s="8">
        <f>IF($E27="","",VLOOKUP($E27,teams!$A$4:$K$75,3,FALSE))</f>
        <v/>
      </c>
      <c r="I27" s="4">
        <f>IF($F27="","",VLOOKUP($F27,teams!$A$4:$K$75,2,FALSE))</f>
        <v/>
      </c>
      <c r="J27" s="8">
        <f>IF($F27="","",VLOOKUP($F27,teams!$A$4:$K$75,3,FALSE))</f>
        <v/>
      </c>
    </row>
    <row r="28">
      <c r="A28" s="4" t="inlineStr">
        <is>
          <t>R64_M_03</t>
        </is>
      </c>
      <c r="B28" s="4" t="n">
        <v>64</v>
      </c>
      <c r="C28" s="4" t="inlineStr">
        <is>
          <t>Midwest</t>
        </is>
      </c>
      <c r="D28" s="4" t="n">
        <v>3</v>
      </c>
      <c r="E28" s="4" t="inlineStr">
        <is>
          <t>TTU</t>
        </is>
      </c>
      <c r="F28" s="4" t="inlineStr">
        <is>
          <t>AKRN</t>
        </is>
      </c>
      <c r="G28" s="4">
        <f>IF($E28="","",VLOOKUP($E28,teams!$A$4:$K$75,2,FALSE))</f>
        <v/>
      </c>
      <c r="H28" s="8">
        <f>IF($E28="","",VLOOKUP($E28,teams!$A$4:$K$75,3,FALSE))</f>
        <v/>
      </c>
      <c r="I28" s="4">
        <f>IF($F28="","",VLOOKUP($F28,teams!$A$4:$K$75,2,FALSE))</f>
        <v/>
      </c>
      <c r="J28" s="8">
        <f>IF($F28="","",VLOOKUP($F28,teams!$A$4:$K$75,3,FALSE))</f>
        <v/>
      </c>
    </row>
    <row r="29">
      <c r="A29" s="4" t="inlineStr">
        <is>
          <t>R64_M_04</t>
        </is>
      </c>
      <c r="B29" s="4" t="n">
        <v>64</v>
      </c>
      <c r="C29" s="4" t="inlineStr">
        <is>
          <t>Midwest</t>
        </is>
      </c>
      <c r="D29" s="4" t="n">
        <v>4</v>
      </c>
      <c r="E29" s="4" t="inlineStr">
        <is>
          <t>BAMA</t>
        </is>
      </c>
      <c r="F29" s="4" t="inlineStr">
        <is>
          <t>HOF</t>
        </is>
      </c>
      <c r="G29" s="4">
        <f>IF($E29="","",VLOOKUP($E29,teams!$A$4:$K$75,2,FALSE))</f>
        <v/>
      </c>
      <c r="H29" s="8">
        <f>IF($E29="","",VLOOKUP($E29,teams!$A$4:$K$75,3,FALSE))</f>
        <v/>
      </c>
      <c r="I29" s="4">
        <f>IF($F29="","",VLOOKUP($F29,teams!$A$4:$K$75,2,FALSE))</f>
        <v/>
      </c>
      <c r="J29" s="8">
        <f>IF($F29="","",VLOOKUP($F29,teams!$A$4:$K$75,3,FALSE))</f>
        <v/>
      </c>
    </row>
    <row r="30">
      <c r="A30" s="4" t="inlineStr">
        <is>
          <t>R64_M_05</t>
        </is>
      </c>
      <c r="B30" s="4" t="n">
        <v>64</v>
      </c>
      <c r="C30" s="4" t="inlineStr">
        <is>
          <t>Midwest</t>
        </is>
      </c>
      <c r="D30" s="4" t="n">
        <v>5</v>
      </c>
      <c r="E30" s="4" t="inlineStr">
        <is>
          <t>TENN</t>
        </is>
      </c>
      <c r="F30" s="4" t="inlineStr">
        <is>
          <t>FF_M_11</t>
        </is>
      </c>
      <c r="G30" s="4">
        <f>IF($E30="","",VLOOKUP($E30,teams!$A$4:$K$75,2,FALSE))</f>
        <v/>
      </c>
      <c r="H30" s="8">
        <f>IF($E30="","",VLOOKUP($E30,teams!$A$4:$K$75,3,FALSE))</f>
        <v/>
      </c>
      <c r="I30" s="4">
        <f>IF($F30="","",VLOOKUP($F30,teams!$A$4:$K$75,2,FALSE))</f>
        <v/>
      </c>
      <c r="J30" s="8">
        <f>IF($F30="","",VLOOKUP($F30,teams!$A$4:$K$75,3,FALSE))</f>
        <v/>
      </c>
    </row>
    <row r="31">
      <c r="A31" s="4" t="inlineStr">
        <is>
          <t>R64_M_06</t>
        </is>
      </c>
      <c r="B31" s="4" t="n">
        <v>64</v>
      </c>
      <c r="C31" s="4" t="inlineStr">
        <is>
          <t>Midwest</t>
        </is>
      </c>
      <c r="D31" s="4" t="n">
        <v>6</v>
      </c>
      <c r="E31" s="4" t="inlineStr">
        <is>
          <t>UVA</t>
        </is>
      </c>
      <c r="F31" s="4" t="inlineStr">
        <is>
          <t>WRST</t>
        </is>
      </c>
      <c r="G31" s="4">
        <f>IF($E31="","",VLOOKUP($E31,teams!$A$4:$K$75,2,FALSE))</f>
        <v/>
      </c>
      <c r="H31" s="8">
        <f>IF($E31="","",VLOOKUP($E31,teams!$A$4:$K$75,3,FALSE))</f>
        <v/>
      </c>
      <c r="I31" s="4">
        <f>IF($F31="","",VLOOKUP($F31,teams!$A$4:$K$75,2,FALSE))</f>
        <v/>
      </c>
      <c r="J31" s="8">
        <f>IF($F31="","",VLOOKUP($F31,teams!$A$4:$K$75,3,FALSE))</f>
        <v/>
      </c>
    </row>
    <row r="32">
      <c r="A32" s="4" t="inlineStr">
        <is>
          <t>R64_M_07</t>
        </is>
      </c>
      <c r="B32" s="4" t="n">
        <v>64</v>
      </c>
      <c r="C32" s="4" t="inlineStr">
        <is>
          <t>Midwest</t>
        </is>
      </c>
      <c r="D32" s="4" t="n">
        <v>7</v>
      </c>
      <c r="E32" s="4" t="inlineStr">
        <is>
          <t>UK</t>
        </is>
      </c>
      <c r="F32" s="4" t="inlineStr">
        <is>
          <t>SCU</t>
        </is>
      </c>
      <c r="G32" s="4">
        <f>IF($E32="","",VLOOKUP($E32,teams!$A$4:$K$75,2,FALSE))</f>
        <v/>
      </c>
      <c r="H32" s="8">
        <f>IF($E32="","",VLOOKUP($E32,teams!$A$4:$K$75,3,FALSE))</f>
        <v/>
      </c>
      <c r="I32" s="4">
        <f>IF($F32="","",VLOOKUP($F32,teams!$A$4:$K$75,2,FALSE))</f>
        <v/>
      </c>
      <c r="J32" s="8">
        <f>IF($F32="","",VLOOKUP($F32,teams!$A$4:$K$75,3,FALSE))</f>
        <v/>
      </c>
    </row>
    <row r="33">
      <c r="A33" s="4" t="inlineStr">
        <is>
          <t>R64_M_08</t>
        </is>
      </c>
      <c r="B33" s="4" t="n">
        <v>64</v>
      </c>
      <c r="C33" s="4" t="inlineStr">
        <is>
          <t>Midwest</t>
        </is>
      </c>
      <c r="D33" s="4" t="n">
        <v>8</v>
      </c>
      <c r="E33" s="4" t="inlineStr">
        <is>
          <t>ISU</t>
        </is>
      </c>
      <c r="F33" s="4" t="inlineStr">
        <is>
          <t>TNST</t>
        </is>
      </c>
      <c r="G33" s="4">
        <f>IF($E33="","",VLOOKUP($E33,teams!$A$4:$K$75,2,FALSE))</f>
        <v/>
      </c>
      <c r="H33" s="8">
        <f>IF($E33="","",VLOOKUP($E33,teams!$A$4:$K$75,3,FALSE))</f>
        <v/>
      </c>
      <c r="I33" s="4">
        <f>IF($F33="","",VLOOKUP($F33,teams!$A$4:$K$75,2,FALSE))</f>
        <v/>
      </c>
      <c r="J33" s="8">
        <f>IF($F33="","",VLOOKUP($F33,teams!$A$4:$K$75,3,FALSE))</f>
        <v/>
      </c>
    </row>
  </sheetData>
  <dataValidations count="1">
    <dataValidation sqref="E2:F33" showDropDown="0" showInputMessage="0" showErrorMessage="0" allowBlank="1" type="list">
      <formula1>=teams!$A$4:$A$75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75" customWidth="1" min="4" max="4"/>
  </cols>
  <sheetData>
    <row r="1" ht="22" customHeight="1">
      <c r="A1" s="3" t="inlineStr">
        <is>
          <t>round_name</t>
        </is>
      </c>
      <c r="B1" s="3" t="inlineStr">
        <is>
          <t>round_code</t>
        </is>
      </c>
      <c r="C1" s="3" t="inlineStr">
        <is>
          <t>win_multiplier</t>
        </is>
      </c>
      <c r="D1" s="3" t="inlineStr">
        <is>
          <t>notes</t>
        </is>
      </c>
    </row>
    <row r="2">
      <c r="A2" s="4" t="inlineStr">
        <is>
          <t>Round 1</t>
        </is>
      </c>
      <c r="B2" s="8" t="n">
        <v>64</v>
      </c>
      <c r="C2" s="8" t="n">
        <v>1</v>
      </c>
      <c r="D2" s="4" t="inlineStr">
        <is>
          <t>Win Round of 64 game</t>
        </is>
      </c>
    </row>
    <row r="3">
      <c r="A3" s="4" t="inlineStr">
        <is>
          <t>Round 2</t>
        </is>
      </c>
      <c r="B3" s="8" t="n">
        <v>32</v>
      </c>
      <c r="C3" s="8" t="n">
        <v>2</v>
      </c>
      <c r="D3" s="4" t="inlineStr">
        <is>
          <t>Win Round of 32 game</t>
        </is>
      </c>
    </row>
    <row r="4">
      <c r="A4" s="4" t="inlineStr">
        <is>
          <t>Sweet 16</t>
        </is>
      </c>
      <c r="B4" s="8" t="n">
        <v>16</v>
      </c>
      <c r="C4" s="8" t="n">
        <v>3</v>
      </c>
      <c r="D4" s="4" t="inlineStr">
        <is>
          <t>Win Sweet 16 game</t>
        </is>
      </c>
    </row>
    <row r="5">
      <c r="A5" s="4" t="inlineStr">
        <is>
          <t>Elite 8</t>
        </is>
      </c>
      <c r="B5" s="8" t="n">
        <v>8</v>
      </c>
      <c r="C5" s="8" t="n">
        <v>4</v>
      </c>
      <c r="D5" s="4" t="inlineStr">
        <is>
          <t>Win Elite 8 game</t>
        </is>
      </c>
    </row>
    <row r="6">
      <c r="A6" s="4" t="inlineStr">
        <is>
          <t>Final Four</t>
        </is>
      </c>
      <c r="B6" s="8" t="n">
        <v>4</v>
      </c>
      <c r="C6" s="8" t="n">
        <v>5</v>
      </c>
      <c r="D6" s="4" t="inlineStr">
        <is>
          <t>Win national semifinal</t>
        </is>
      </c>
    </row>
    <row r="7">
      <c r="A7" s="4" t="inlineStr">
        <is>
          <t>Championship</t>
        </is>
      </c>
      <c r="B7" s="8" t="n">
        <v>2</v>
      </c>
      <c r="C7" s="8" t="n">
        <v>6</v>
      </c>
      <c r="D7" s="4" t="inlineStr">
        <is>
          <t>Win national title game</t>
        </is>
      </c>
    </row>
    <row r="9">
      <c r="A9" t="inlineStr">
        <is>
          <t>Scoring basis</t>
        </is>
      </c>
      <c r="B9" t="inlineStr">
        <is>
          <t>Week 19 AP rankings</t>
        </is>
      </c>
      <c r="C9" t="inlineStr">
        <is>
          <t>Mar 9-15, 2026</t>
        </is>
      </c>
      <c r="D9" t="inlineStr">
        <is>
          <t>Base points come from AP buckets; unranked = 6; First Four placeholder values depend on the winner.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 ht="22" customHeight="1">
      <c r="A1" s="9" t="inlineStr">
        <is>
          <t>season</t>
        </is>
      </c>
      <c r="B1" s="9" t="inlineStr">
        <is>
          <t>game_date</t>
        </is>
      </c>
      <c r="C1" s="9" t="inlineStr">
        <is>
          <t>team_a_id</t>
        </is>
      </c>
      <c r="D1" s="9" t="inlineStr">
        <is>
          <t>team_b_id</t>
        </is>
      </c>
      <c r="E1" s="9" t="inlineStr">
        <is>
          <t>team_a_score</t>
        </is>
      </c>
      <c r="F1" s="9" t="inlineStr">
        <is>
          <t>team_b_score</t>
        </is>
      </c>
      <c r="G1" s="9" t="inlineStr">
        <is>
          <t>team_a_win</t>
        </is>
      </c>
    </row>
    <row r="2">
      <c r="A2" s="10" t="inlineStr">
        <is>
          <t>Optional: fill to calibrate k (logistic_k) using historical results.</t>
        </is>
      </c>
    </row>
  </sheetData>
  <mergeCells count="1"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0" customWidth="1" min="4" max="4"/>
    <col width="16" customWidth="1" min="5" max="5"/>
    <col width="16" customWidth="1" min="6" max="6"/>
    <col width="22" customWidth="1" min="7" max="7"/>
    <col width="12" customWidth="1" min="8" max="8"/>
    <col width="24" customWidth="1" min="9" max="9"/>
    <col width="12" customWidth="1" min="10" max="10"/>
  </cols>
  <sheetData>
    <row r="1">
      <c r="A1" s="14" t="inlineStr">
        <is>
          <t>game_id</t>
        </is>
      </c>
      <c r="B1" s="14" t="inlineStr">
        <is>
          <t>region_target</t>
        </is>
      </c>
      <c r="C1" s="14" t="inlineStr">
        <is>
          <t>winner_placeholder_id</t>
        </is>
      </c>
      <c r="D1" s="14" t="inlineStr">
        <is>
          <t>seed_line</t>
        </is>
      </c>
      <c r="E1" s="14" t="inlineStr">
        <is>
          <t>team1_id</t>
        </is>
      </c>
      <c r="F1" s="14" t="inlineStr">
        <is>
          <t>team2_id</t>
        </is>
      </c>
      <c r="G1" s="14" t="inlineStr">
        <is>
          <t>team1_name</t>
        </is>
      </c>
      <c r="H1" s="14" t="inlineStr">
        <is>
          <t>team1_seed</t>
        </is>
      </c>
      <c r="I1" s="14" t="inlineStr">
        <is>
          <t>team2_name</t>
        </is>
      </c>
      <c r="J1" s="14" t="inlineStr">
        <is>
          <t>team2_seed</t>
        </is>
      </c>
    </row>
    <row r="2">
      <c r="A2" t="inlineStr">
        <is>
          <t>FF_W_11</t>
        </is>
      </c>
      <c r="B2" t="inlineStr">
        <is>
          <t>West</t>
        </is>
      </c>
      <c r="C2" t="inlineStr">
        <is>
          <t>FF_W_11</t>
        </is>
      </c>
      <c r="D2" t="n">
        <v>11</v>
      </c>
      <c r="E2" t="inlineStr">
        <is>
          <t>SMU</t>
        </is>
      </c>
      <c r="F2" t="inlineStr">
        <is>
          <t>MIAOH</t>
        </is>
      </c>
      <c r="G2">
        <f>VLOOKUP(E2,teams!$A$4:$K$75,2,FALSE)</f>
        <v/>
      </c>
      <c r="H2">
        <f>VLOOKUP(E2,teams!$A$4:$K$75,3,FALSE)</f>
        <v/>
      </c>
      <c r="I2">
        <f>VLOOKUP(F2,teams!$A$4:$K$75,2,FALSE)</f>
        <v/>
      </c>
      <c r="J2">
        <f>VLOOKUP(F2,teams!$A$4:$K$75,3,FALSE)</f>
        <v/>
      </c>
    </row>
    <row r="3">
      <c r="A3" t="inlineStr">
        <is>
          <t>FF_S_16</t>
        </is>
      </c>
      <c r="B3" t="inlineStr">
        <is>
          <t>South</t>
        </is>
      </c>
      <c r="C3" t="inlineStr">
        <is>
          <t>FF_S_16</t>
        </is>
      </c>
      <c r="D3" t="n">
        <v>16</v>
      </c>
      <c r="E3" t="inlineStr">
        <is>
          <t>HOW</t>
        </is>
      </c>
      <c r="F3" t="inlineStr">
        <is>
          <t>UMBC</t>
        </is>
      </c>
      <c r="G3">
        <f>VLOOKUP(E3,teams!$A$4:$K$75,2,FALSE)</f>
        <v/>
      </c>
      <c r="H3">
        <f>VLOOKUP(E3,teams!$A$4:$K$75,3,FALSE)</f>
        <v/>
      </c>
      <c r="I3">
        <f>VLOOKUP(F3,teams!$A$4:$K$75,2,FALSE)</f>
        <v/>
      </c>
      <c r="J3">
        <f>VLOOKUP(F3,teams!$A$4:$K$75,3,FALSE)</f>
        <v/>
      </c>
    </row>
    <row r="4">
      <c r="A4" t="inlineStr">
        <is>
          <t>FF_M_11</t>
        </is>
      </c>
      <c r="B4" t="inlineStr">
        <is>
          <t>Midwest</t>
        </is>
      </c>
      <c r="C4" t="inlineStr">
        <is>
          <t>FF_M_11</t>
        </is>
      </c>
      <c r="D4" t="n">
        <v>11</v>
      </c>
      <c r="E4" t="inlineStr">
        <is>
          <t>NCSU</t>
        </is>
      </c>
      <c r="F4" t="inlineStr">
        <is>
          <t>TEX</t>
        </is>
      </c>
      <c r="G4">
        <f>VLOOKUP(E4,teams!$A$4:$K$75,2,FALSE)</f>
        <v/>
      </c>
      <c r="H4">
        <f>VLOOKUP(E4,teams!$A$4:$K$75,3,FALSE)</f>
        <v/>
      </c>
      <c r="I4">
        <f>VLOOKUP(F4,teams!$A$4:$K$75,2,FALSE)</f>
        <v/>
      </c>
      <c r="J4">
        <f>VLOOKUP(F4,teams!$A$4:$K$75,3,FALSE)</f>
        <v/>
      </c>
    </row>
    <row r="5">
      <c r="A5" t="inlineStr">
        <is>
          <t>FF_M_16</t>
        </is>
      </c>
      <c r="B5" t="inlineStr">
        <is>
          <t>Midwest</t>
        </is>
      </c>
      <c r="C5" t="inlineStr">
        <is>
          <t>FF_M_16</t>
        </is>
      </c>
      <c r="D5" t="n">
        <v>16</v>
      </c>
      <c r="E5" t="inlineStr">
        <is>
          <t>LEH</t>
        </is>
      </c>
      <c r="F5" t="inlineStr">
        <is>
          <t>PVAM</t>
        </is>
      </c>
      <c r="G5">
        <f>VLOOKUP(E5,teams!$A$4:$K$75,2,FALSE)</f>
        <v/>
      </c>
      <c r="H5">
        <f>VLOOKUP(E5,teams!$A$4:$K$75,3,FALSE)</f>
        <v/>
      </c>
      <c r="I5">
        <f>VLOOKUP(F5,teams!$A$4:$K$75,2,FALSE)</f>
        <v/>
      </c>
      <c r="J5">
        <f>VLOOKUP(F5,teams!$A$4:$K$75,3,FALSE)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0" customWidth="1" min="1" max="1"/>
    <col width="90" customWidth="1" min="2" max="2"/>
  </cols>
  <sheetData>
    <row r="1">
      <c r="A1" t="inlineStr">
        <is>
          <t>source_name</t>
        </is>
      </c>
      <c r="B1" t="inlineStr">
        <is>
          <t>url</t>
        </is>
      </c>
      <c r="C1" t="inlineStr">
        <is>
          <t>notes</t>
        </is>
      </c>
    </row>
    <row r="2">
      <c r="A2" t="inlineStr">
        <is>
          <t>KenPom 2026 ratings</t>
        </is>
      </c>
      <c r="B2" t="inlineStr">
        <is>
          <t>https://kenpom.com/index.php</t>
        </is>
      </c>
      <c r="C2" t="inlineStr">
        <is>
          <t>NetRtg values used for teams tab kenpom column; data through games of Sunday, March 15, 2026.</t>
        </is>
      </c>
    </row>
    <row r="3">
      <c r="A3" t="inlineStr">
        <is>
          <t>Week 19 AP poll reference</t>
        </is>
      </c>
      <c r="B3" t="inlineStr">
        <is>
          <t>https://www.warrennolan.com/basketball/2026/polls/week/19</t>
        </is>
      </c>
      <c r="C3" t="inlineStr">
        <is>
          <t>Used for ap_rank_week19 / base_points scoring buckets.</t>
        </is>
      </c>
    </row>
    <row r="4">
      <c r="A4" t="inlineStr">
        <is>
          <t>2026 NCAA bracket</t>
        </is>
      </c>
      <c r="B4" t="inlineStr">
        <is>
          <t>https://www.ncaa.com/news/basketball-men/mml-official-bracket/2026-03-17/2026-ncaa-tournament-printable-bracket-schedule-march-madness</t>
        </is>
      </c>
      <c r="C4" t="inlineStr">
        <is>
          <t>Bracket structure / field.</t>
        </is>
      </c>
    </row>
    <row r="5">
      <c r="A5" t="inlineStr">
        <is>
          <t>Torvik PDF</t>
        </is>
      </c>
      <c r="B5" t="inlineStr">
        <is>
          <t>Uploaded PDF: T-Rank - Customizable College Basketball Tempo Free Stats - T-Rank.pdf</t>
        </is>
      </c>
      <c r="C5" t="inlineStr">
        <is>
          <t>torvik column uses AdjOE - AdjDE from 2026 T-Rank table</t>
        </is>
      </c>
    </row>
    <row r="6">
      <c r="A6" t="inlineStr">
        <is>
          <t>EvanMiya PDF</t>
        </is>
      </c>
      <c r="B6" t="inlineStr">
        <is>
          <t>Uploaded PDF: EvanMiya CBB Analytics - College Basketball Team, Player, and Lineup Metrics.pdf</t>
        </is>
      </c>
      <c r="C6" t="inlineStr">
        <is>
          <t>evanmia column uses Relative Rating from 2025-26 team ratings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2026-03-17T22:18:47Z</dcterms:created>
  <dcterms:modified xmlns:dcterms="http://purl.org/dc/terms/" xmlns:xsi="http://www.w3.org/2001/XMLSchema-instance" xsi:type="dcterms:W3CDTF">2026-03-17T23:28:24Z</dcterms:modified>
</cp:coreProperties>
</file>